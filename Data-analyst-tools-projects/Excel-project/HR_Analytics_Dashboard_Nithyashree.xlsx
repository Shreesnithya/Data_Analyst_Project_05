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NITHYASHREE S\Documents\"/>
    </mc:Choice>
  </mc:AlternateContent>
  <xr:revisionPtr revIDLastSave="0" documentId="13_ncr:1_{A4DC7127-2F0E-42BD-8BC0-50C29C2BE366}" xr6:coauthVersionLast="47" xr6:coauthVersionMax="47" xr10:uidLastSave="{00000000-0000-0000-0000-000000000000}"/>
  <bookViews>
    <workbookView xWindow="-120" yWindow="-120" windowWidth="20730" windowHeight="11760" xr2:uid="{06E64F8D-CD76-4922-A92F-ACC174C7F5C6}"/>
  </bookViews>
  <sheets>
    <sheet name="Dashboard" sheetId="5" r:id="rId1"/>
    <sheet name="HR_Records" sheetId="1" r:id="rId2"/>
    <sheet name="Attrition Analysis" sheetId="3" r:id="rId3"/>
    <sheet name="Salary&amp;Age Analysis" sheetId="4" r:id="rId4"/>
  </sheets>
  <definedNames>
    <definedName name="Slicer_Department">#N/A</definedName>
    <definedName name="Slicer_Gender">#N/A</definedName>
  </definedNames>
  <calcPr calcId="191029"/>
  <pivotCaches>
    <pivotCache cacheId="0" r:id="rId5"/>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B17" i="3"/>
  <c r="B16" i="3"/>
</calcChain>
</file>

<file path=xl/sharedStrings.xml><?xml version="1.0" encoding="utf-8"?>
<sst xmlns="http://schemas.openxmlformats.org/spreadsheetml/2006/main" count="1049" uniqueCount="287">
  <si>
    <t>EmployeeID</t>
  </si>
  <si>
    <t>Age</t>
  </si>
  <si>
    <t>Gender</t>
  </si>
  <si>
    <t>Department</t>
  </si>
  <si>
    <t>Salary</t>
  </si>
  <si>
    <t>AttritionStatus</t>
  </si>
  <si>
    <t>EMP0001</t>
  </si>
  <si>
    <t>Male</t>
  </si>
  <si>
    <t>Operations</t>
  </si>
  <si>
    <t>No</t>
  </si>
  <si>
    <t>EMP0002</t>
  </si>
  <si>
    <t>Marketing</t>
  </si>
  <si>
    <t>EMP0003</t>
  </si>
  <si>
    <t>EMP0004</t>
  </si>
  <si>
    <t>Female</t>
  </si>
  <si>
    <t>EMP0005</t>
  </si>
  <si>
    <t>HR</t>
  </si>
  <si>
    <t>EMP0006</t>
  </si>
  <si>
    <t>Finance</t>
  </si>
  <si>
    <t>EMP0007</t>
  </si>
  <si>
    <t>Yes</t>
  </si>
  <si>
    <t>EMP0008</t>
  </si>
  <si>
    <t>EMP0009</t>
  </si>
  <si>
    <t>IT</t>
  </si>
  <si>
    <t>EMP0010</t>
  </si>
  <si>
    <t>EMP0011</t>
  </si>
  <si>
    <t>EMP0012</t>
  </si>
  <si>
    <t>EMP0013</t>
  </si>
  <si>
    <t>EMP0014</t>
  </si>
  <si>
    <t>EMP0015</t>
  </si>
  <si>
    <t>EMP0016</t>
  </si>
  <si>
    <t>EMP0017</t>
  </si>
  <si>
    <t>Sales</t>
  </si>
  <si>
    <t>EMP0018</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</si>
  <si>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</si>
  <si>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</si>
  <si>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</si>
  <si>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</si>
  <si>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</si>
  <si>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</si>
  <si>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</si>
  <si>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</si>
  <si>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</si>
  <si>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</si>
  <si>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</si>
  <si>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</si>
  <si>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</si>
  <si>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</si>
  <si>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</si>
  <si>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</si>
  <si>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</si>
  <si>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</si>
  <si>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</si>
  <si>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</si>
  <si>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</si>
  <si>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</si>
  <si>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</si>
  <si>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</si>
  <si>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</si>
  <si>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</si>
  <si>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</si>
  <si>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</si>
  <si>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</si>
  <si>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</si>
  <si>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</si>
  <si>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</si>
  <si>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</si>
  <si>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</si>
  <si>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</si>
  <si>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</si>
  <si>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</si>
  <si>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</si>
  <si>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</si>
  <si>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</si>
  <si>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</si>
  <si>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</si>
  <si>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</si>
  <si>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</si>
  <si>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</si>
  <si>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</si>
  <si>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</si>
  <si>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</si>
  <si>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</si>
  <si>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</si>
  <si>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</si>
  <si>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</si>
  <si>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</si>
  <si>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</si>
  <si>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</si>
  <si>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</si>
  <si>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</si>
  <si>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</si>
  <si>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</si>
  <si>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</si>
  <si>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</si>
  <si>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</si>
  <si>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</si>
  <si>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</si>
  <si>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</si>
  <si>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</si>
  <si>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</si>
  <si>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</si>
  <si>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</si>
  <si>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</si>
  <si>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</si>
  <si>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</si>
  <si>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</si>
  <si>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</si>
  <si>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</si>
  <si>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</si>
  <si>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</si>
  <si>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</si>
  <si>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</si>
  <si>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</si>
  <si>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</si>
  <si>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</si>
  <si>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</si>
  <si>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</si>
  <si>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</si>
  <si>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</si>
  <si>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</si>
  <si>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</si>
  <si>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</si>
  <si>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</si>
  <si>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</si>
  <si>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</si>
  <si>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</si>
  <si>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</si>
  <si>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</si>
  <si>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</si>
  <si>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</si>
  <si>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</si>
  <si>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</si>
  <si>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</si>
  <si>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</si>
  <si>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</si>
  <si>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</si>
  <si>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</si>
  <si>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</si>
  <si>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</si>
  <si>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</si>
  <si>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</si>
  <si>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</si>
  <si>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</si>
  <si>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</si>
  <si>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</si>
  <si>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</si>
  <si>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</si>
  <si>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</si>
  <si>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</si>
  <si>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</si>
  <si>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</si>
  <si>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</si>
  <si>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</si>
  <si>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</si>
  <si>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</si>
  <si>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</si>
  <si>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</si>
  <si>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</si>
  <si>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</si>
  <si>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</si>
  <si>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</si>
  <si>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</si>
  <si>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</si>
  <si>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</si>
  <si>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</si>
  <si>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</si>
  <si>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</si>
  <si>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</si>
  <si>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</si>
  <si>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</si>
  <si>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</si>
  <si>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</si>
  <si>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</si>
  <si>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</si>
  <si>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</si>
  <si>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</si>
  <si>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</si>
  <si>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</si>
  <si>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</si>
  <si>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</si>
  <si>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</si>
  <si>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</si>
  <si>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</si>
  <si>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</si>
  <si>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</si>
  <si>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</si>
  <si>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</si>
  <si>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</si>
  <si>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</si>
  <si>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</si>
  <si>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</si>
  <si>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</si>
  <si>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</si>
  <si>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</si>
  <si>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</si>
  <si>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</si>
  <si>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</si>
  <si>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</si>
  <si>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</si>
  <si>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</si>
  <si>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</si>
  <si>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</si>
  <si>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</si>
  <si>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</si>
  <si>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</si>
  <si>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</si>
  <si>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</si>
  <si>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</si>
  <si>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</si>
  <si>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</si>
  <si>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</si>
  <si>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</si>
  <si>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</si>
  <si>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</si>
  <si>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</si>
  <si>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</si>
  <si>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</si>
  <si>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</si>
  <si>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</si>
  <si>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</si>
  <si>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</si>
  <si>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</si>
  <si>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</si>
  <si>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</si>
  <si>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</si>
  <si>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</si>
  <si>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</si>
  <si>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</si>
  <si>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</si>
  <si>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</si>
  <si>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</si>
  <si>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</si>
  <si>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</si>
  <si>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</si>
  <si>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</si>
  <si>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</si>
  <si>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</si>
  <si>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</si>
  <si>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</si>
  <si>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</si>
  <si>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</si>
  <si>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</si>
  <si>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</si>
  <si>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</si>
  <si>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</si>
  <si>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</si>
  <si>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</si>
  <si>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</si>
  <si>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</si>
  <si>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</si>
  <si>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</si>
  <si>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</si>
  <si>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</si>
  <si>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</si>
  <si>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</si>
  <si>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</si>
  <si>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</si>
  <si>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</si>
  <si>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</si>
  <si>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</si>
  <si>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</si>
  <si>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</si>
  <si>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</si>
  <si>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</si>
  <si>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</si>
  <si>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Row Labels</t>
  </si>
  <si>
    <t>Grand Total</t>
  </si>
  <si>
    <t>Column Labels</t>
  </si>
  <si>
    <t>Count of AttritionStatus</t>
  </si>
  <si>
    <t>Yes Total</t>
  </si>
  <si>
    <t>Status</t>
  </si>
  <si>
    <t>Count</t>
  </si>
  <si>
    <t>Average of Salary</t>
  </si>
  <si>
    <t>Age Group</t>
  </si>
  <si>
    <t>Count of EmployeeID</t>
  </si>
  <si>
    <t>&lt;25</t>
  </si>
  <si>
    <t>25-34</t>
  </si>
  <si>
    <t>35-44</t>
  </si>
  <si>
    <t>45-54</t>
  </si>
  <si>
    <t>55+</t>
  </si>
  <si>
    <t>HR Analytics Dashboard</t>
  </si>
  <si>
    <t>Insights:</t>
  </si>
  <si>
    <r>
      <rPr>
        <b/>
        <sz val="22"/>
        <color rgb="FF52514E"/>
        <rFont val="Arial"/>
        <family val="2"/>
      </rPr>
      <t>•</t>
    </r>
    <r>
      <rPr>
        <b/>
        <sz val="16"/>
        <color rgb="FF52514E"/>
        <rFont val="Arial"/>
        <family val="2"/>
      </rPr>
      <t>IT attrition skews female; Ops skews male</t>
    </r>
  </si>
  <si>
    <r>
      <rPr>
        <b/>
        <sz val="22"/>
        <color rgb="FF52514E"/>
        <rFont val="Arial"/>
        <family val="2"/>
      </rPr>
      <t>•</t>
    </r>
    <r>
      <rPr>
        <b/>
        <sz val="16"/>
        <color rgb="FF52514E"/>
        <rFont val="Arial"/>
        <family val="2"/>
      </rPr>
      <t>Highest-paid dept (IT) also has the highest attrition</t>
    </r>
  </si>
  <si>
    <r>
      <rPr>
        <b/>
        <sz val="22"/>
        <color rgb="FF52514E"/>
        <rFont val="Arial"/>
        <family val="2"/>
      </rPr>
      <t>•</t>
    </r>
    <r>
      <rPr>
        <b/>
        <sz val="16"/>
        <color rgb="FF52514E"/>
        <rFont val="Arial"/>
        <family val="2"/>
      </rPr>
      <t>Salary rises steadily with age (₹53K → ₹72K)</t>
    </r>
  </si>
  <si>
    <r>
      <rPr>
        <b/>
        <sz val="22"/>
        <color rgb="FF52514E"/>
        <rFont val="Arial"/>
        <family val="2"/>
      </rPr>
      <t>•</t>
    </r>
    <r>
      <rPr>
        <b/>
        <sz val="16"/>
        <color rgb="FF52514E"/>
        <rFont val="Arial"/>
        <family val="2"/>
      </rPr>
      <t>IT &amp; Finance: highest attrition (24%, 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</si>
</sst>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1"/>
      <color rgb="FF52514E"/>
      <name val="Segoe UI"/>
      <family val="2"/>
    </font>
    <font>
      <b/>
      <sz val="20"/>
      <color theme="1"/>
      <name val="Arial Black"/>
      <family val="2"/>
    </font>
    <font>
      <b/>
      <sz val="17"/>
      <color rgb="FF0B0B0B"/>
      <name val="Segoe UI"/>
      <family val="2"/>
    </font>
    <font>
      <b/>
      <sz val="16"/>
      <color rgb="FF52514E"/>
      <name val="Arial"/>
      <family val="2"/>
    </font>
    <font>
      <b/>
      <sz val="16"/>
      <color theme="1"/>
      <name val="Arial"/>
      <family val="2"/>
    </font>
    <font>
      <b/>
      <sz val="22"/>
      <color rgb="FF52514E"/>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0" xfId="0" applyAlignment="1">
      <alignment horizontal="center"/>
    </xf>
    <xf numFmtId="0" fontId="0" fillId="0" borderId="0" xfId="0" applyAlignment="1">
      <alignment horizontal="left"/>
    </xf>
    <xf numFmtId="0" fontId="18" fillId="0" borderId="0" xfId="0" applyFont="1" applyAlignment="1">
      <alignment horizontal="center"/>
    </xf>
    <xf numFmtId="0" fontId="18" fillId="0" borderId="0" xfId="0" applyFont="1" applyAlignment="1">
      <alignment horizontal="center" wrapText="1"/>
    </xf>
    <xf numFmtId="0" fontId="18" fillId="0" borderId="0" xfId="0" pivotButton="1" applyFont="1" applyAlignment="1">
      <alignment horizontal="center"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33" borderId="0" xfId="0" applyFill="1"/>
    <xf numFmtId="0" fontId="19" fillId="0" borderId="19" xfId="0" applyFont="1" applyBorder="1" applyAlignment="1">
      <alignment horizontal="center"/>
    </xf>
    <xf numFmtId="0" fontId="19" fillId="0" borderId="20" xfId="0" applyFont="1" applyBorder="1" applyAlignment="1">
      <alignment horizontal="center"/>
    </xf>
    <xf numFmtId="0" fontId="19" fillId="0" borderId="21" xfId="0" applyFont="1" applyBorder="1" applyAlignment="1">
      <alignment horizontal="center"/>
    </xf>
    <xf numFmtId="0" fontId="16" fillId="0" borderId="22" xfId="0" applyFont="1" applyBorder="1" applyAlignment="1">
      <alignment horizontal="center"/>
    </xf>
    <xf numFmtId="0" fontId="19" fillId="0" borderId="23" xfId="0" applyFont="1" applyBorder="1" applyAlignment="1">
      <alignment horizontal="center"/>
    </xf>
    <xf numFmtId="0" fontId="16" fillId="0" borderId="24" xfId="0" applyFont="1" applyBorder="1" applyAlignment="1">
      <alignment horizontal="center"/>
    </xf>
    <xf numFmtId="0" fontId="0" fillId="0" borderId="0" xfId="0" pivotButton="1"/>
    <xf numFmtId="0" fontId="0" fillId="33" borderId="0" xfId="0" applyFill="1" applyAlignment="1">
      <alignment wrapText="1"/>
    </xf>
    <xf numFmtId="0" fontId="0" fillId="0" borderId="0" xfId="0" applyAlignment="1">
      <alignment horizontal="center" wrapText="1"/>
    </xf>
    <xf numFmtId="164" fontId="0" fillId="0" borderId="0" xfId="0" applyNumberFormat="1"/>
    <xf numFmtId="0" fontId="0" fillId="0" borderId="0" xfId="0" applyNumberFormat="1"/>
    <xf numFmtId="0" fontId="20" fillId="0" borderId="0" xfId="0" applyFont="1" applyAlignment="1">
      <alignment horizontal="center" vertical="center"/>
    </xf>
    <xf numFmtId="0" fontId="0" fillId="0" borderId="0" xfId="0" applyNumberFormat="1" applyAlignment="1">
      <alignment horizontal="center"/>
    </xf>
    <xf numFmtId="0" fontId="0" fillId="33" borderId="28" xfId="0" applyFill="1" applyBorder="1"/>
    <xf numFmtId="0" fontId="21" fillId="0" borderId="25" xfId="0" applyFont="1" applyBorder="1" applyAlignment="1">
      <alignment horizontal="left"/>
    </xf>
    <xf numFmtId="0" fontId="21" fillId="0" borderId="26" xfId="0" applyFont="1" applyBorder="1" applyAlignment="1">
      <alignment horizontal="left"/>
    </xf>
    <xf numFmtId="0" fontId="21" fillId="0" borderId="27" xfId="0" applyFont="1" applyBorder="1" applyAlignment="1">
      <alignment horizontal="left"/>
    </xf>
    <xf numFmtId="0" fontId="22" fillId="0" borderId="29" xfId="0" applyFont="1" applyBorder="1" applyAlignment="1">
      <alignment horizontal="left" vertical="center"/>
    </xf>
    <xf numFmtId="0" fontId="22" fillId="0" borderId="29" xfId="0" applyFont="1" applyBorder="1" applyAlignment="1">
      <alignment horizontal="left" vertical="center" wrapText="1"/>
    </xf>
    <xf numFmtId="0" fontId="23" fillId="33" borderId="0" xfId="0" applyFont="1" applyFill="1" applyBorder="1"/>
    <xf numFmtId="0" fontId="23" fillId="33" borderId="29" xfId="0" applyFont="1" applyFill="1" applyBorder="1"/>
    <xf numFmtId="0" fontId="23" fillId="33" borderId="30" xfId="0" applyFont="1" applyFill="1" applyBorder="1"/>
    <xf numFmtId="0" fontId="23" fillId="33" borderId="31" xfId="0" applyFont="1" applyFill="1" applyBorder="1"/>
    <xf numFmtId="0" fontId="23" fillId="33" borderId="32" xfId="0" applyFont="1" applyFill="1" applyBorder="1"/>
    <xf numFmtId="0" fontId="22" fillId="0" borderId="28" xfId="0" applyFont="1" applyBorder="1" applyAlignment="1">
      <alignment horizontal="left" vertical="center"/>
    </xf>
    <xf numFmtId="0" fontId="22" fillId="0" borderId="0" xfId="0" applyFont="1" applyBorder="1" applyAlignment="1">
      <alignment horizontal="left" vertical="center"/>
    </xf>
    <xf numFmtId="0" fontId="22" fillId="0" borderId="28" xfId="0" applyFont="1" applyBorder="1" applyAlignment="1">
      <alignment horizontal="left" vertical="center" wrapText="1"/>
    </xf>
    <xf numFmtId="0" fontId="22" fillId="0" borderId="0"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3">
    <dxf>
      <alignment wrapText="0"/>
    </dxf>
    <dxf>
      <alignment wrapText="1"/>
    </dxf>
    <dxf>
      <alignment wrapText="1"/>
    </dxf>
    <dxf>
      <alignment horizontal="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wrapText="1"/>
    </dxf>
    <dxf>
      <alignment wrapText="1"/>
    </dxf>
    <dxf>
      <alignment wrapText="1"/>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wrapText="1"/>
    </dxf>
    <dxf>
      <alignment wrapText="1"/>
    </dxf>
    <dxf>
      <alignment wrapText="1"/>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wrapText="1"/>
    </dxf>
    <dxf>
      <alignment wrapText="1"/>
    </dxf>
    <dxf>
      <alignment wrapText="1"/>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wrapText="1"/>
    </dxf>
    <dxf>
      <alignment wrapText="1"/>
    </dxf>
    <dxf>
      <alignment wrapText="1"/>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wrapText="1"/>
    </dxf>
    <dxf>
      <alignment wrapText="1"/>
    </dxf>
    <dxf>
      <alignment wrapText="1"/>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wrapText="1"/>
    </dxf>
    <dxf>
      <alignment wrapText="1"/>
    </dxf>
    <dxf>
      <alignment wrapText="1"/>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wrapText="1"/>
    </dxf>
    <dxf>
      <alignment wrapText="1"/>
    </dxf>
    <dxf>
      <alignment wrapText="1"/>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wrapText="1"/>
    </dxf>
    <dxf>
      <alignment wrapText="1"/>
    </dxf>
    <dxf>
      <alignment wrapText="1"/>
    </dxf>
    <dxf>
      <alignment horizontal="center"/>
    </dxf>
    <dxf>
      <alignment wrapText="1"/>
    </dxf>
    <dxf>
      <alignment wrapText="1"/>
    </dxf>
    <dxf>
      <fill>
        <patternFill>
          <bgColor rgb="FFFFFF00"/>
        </patternFill>
      </fill>
    </dxf>
    <dxf>
      <alignment wrapText="1"/>
    </dxf>
    <dxf>
      <alignment wrapText="1"/>
    </dxf>
    <dxf>
      <alignment horizontal="center"/>
    </dxf>
    <dxf>
      <alignment wrapText="1"/>
    </dxf>
    <dxf>
      <alignment wrapText="1"/>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[HR_Analytics_Dashboard_Nithyashree.xlsx]Attrition Analysis!PivotTable1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Count by Department and Gender</a:t>
            </a:r>
          </a:p>
        </c:rich>
      </c:tx>
      <c:layout>
        <c:manualLayout>
          <c:xMode val="edge"/>
          <c:yMode val="edge"/>
          <c:x val="0.24361447917169862"/>
          <c:y val="0.1160533425968812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Analysis'!$B$1:$B$3</c:f>
              <c:strCache>
                <c:ptCount val="1"/>
                <c:pt idx="0">
                  <c:v>Yes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Analysis'!$A$4:$A$10</c:f>
              <c:strCache>
                <c:ptCount val="6"/>
                <c:pt idx="0">
                  <c:v>Finance</c:v>
                </c:pt>
                <c:pt idx="1">
                  <c:v>HR</c:v>
                </c:pt>
                <c:pt idx="2">
                  <c:v>IT</c:v>
                </c:pt>
                <c:pt idx="3">
                  <c:v>Marketing</c:v>
                </c:pt>
                <c:pt idx="4">
                  <c:v>Operations</c:v>
                </c:pt>
                <c:pt idx="5">
                  <c:v>Sales</c:v>
                </c:pt>
              </c:strCache>
            </c:strRef>
          </c:cat>
          <c:val>
            <c:numRef>
              <c:f>'Attrition Analysis'!$B$4:$B$10</c:f>
              <c:numCache>
                <c:formatCode>General</c:formatCode>
                <c:ptCount val="6"/>
                <c:pt idx="0">
                  <c:v>3</c:v>
                </c:pt>
                <c:pt idx="1">
                  <c:v>1</c:v>
                </c:pt>
                <c:pt idx="2">
                  <c:v>6</c:v>
                </c:pt>
                <c:pt idx="3">
                  <c:v>5</c:v>
                </c:pt>
                <c:pt idx="5">
                  <c:v>2</c:v>
                </c:pt>
              </c:numCache>
            </c:numRef>
          </c:val>
          <c:extLst>
            <c:ext xmlns:c16="http://schemas.microsoft.com/office/drawing/2014/chart" uri="{C3380CC4-5D6E-409C-BE32-E72D297353CC}">
              <c16:uniqueId val="{00000000-7DE0-4352-AFAF-54B428B43D88}"/>
            </c:ext>
          </c:extLst>
        </c:ser>
        <c:ser>
          <c:idx val="1"/>
          <c:order val="1"/>
          <c:tx>
            <c:strRef>
              <c:f>'Attrition Analysis'!$C$1:$C$3</c:f>
              <c:strCache>
                <c:ptCount val="1"/>
                <c:pt idx="0">
                  <c:v>Yes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Analysis'!$A$4:$A$10</c:f>
              <c:strCache>
                <c:ptCount val="6"/>
                <c:pt idx="0">
                  <c:v>Finance</c:v>
                </c:pt>
                <c:pt idx="1">
                  <c:v>HR</c:v>
                </c:pt>
                <c:pt idx="2">
                  <c:v>IT</c:v>
                </c:pt>
                <c:pt idx="3">
                  <c:v>Marketing</c:v>
                </c:pt>
                <c:pt idx="4">
                  <c:v>Operations</c:v>
                </c:pt>
                <c:pt idx="5">
                  <c:v>Sales</c:v>
                </c:pt>
              </c:strCache>
            </c:strRef>
          </c:cat>
          <c:val>
            <c:numRef>
              <c:f>'Attrition Analysis'!$C$4:$C$10</c:f>
              <c:numCache>
                <c:formatCode>General</c:formatCode>
                <c:ptCount val="6"/>
                <c:pt idx="0">
                  <c:v>7</c:v>
                </c:pt>
                <c:pt idx="1">
                  <c:v>2</c:v>
                </c:pt>
                <c:pt idx="2">
                  <c:v>1</c:v>
                </c:pt>
                <c:pt idx="4">
                  <c:v>5</c:v>
                </c:pt>
                <c:pt idx="5">
                  <c:v>2</c:v>
                </c:pt>
              </c:numCache>
            </c:numRef>
          </c:val>
          <c:extLst>
            <c:ext xmlns:c16="http://schemas.microsoft.com/office/drawing/2014/chart" uri="{C3380CC4-5D6E-409C-BE32-E72D297353CC}">
              <c16:uniqueId val="{00000004-7DE0-4352-AFAF-54B428B43D88}"/>
            </c:ext>
          </c:extLst>
        </c:ser>
        <c:dLbls>
          <c:dLblPos val="inEnd"/>
          <c:showLegendKey val="0"/>
          <c:showVal val="1"/>
          <c:showCatName val="0"/>
          <c:showSerName val="0"/>
          <c:showPercent val="0"/>
          <c:showBubbleSize val="0"/>
        </c:dLbls>
        <c:gapWidth val="100"/>
        <c:overlap val="-24"/>
        <c:axId val="434102527"/>
        <c:axId val="218116463"/>
      </c:barChart>
      <c:catAx>
        <c:axId val="43410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116463"/>
        <c:crosses val="autoZero"/>
        <c:auto val="1"/>
        <c:lblAlgn val="ctr"/>
        <c:lblOffset val="100"/>
        <c:noMultiLvlLbl val="0"/>
      </c:catAx>
      <c:valAx>
        <c:axId val="218116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10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[HR_Analytics_Dashboard_Nithyashree.xlsx]Salary&amp;Age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'Salary&amp;Age 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'Salary&amp;Age Analysis'!$A$2:$A$8</c:f>
              <c:strCache>
                <c:ptCount val="6"/>
                <c:pt idx="0">
                  <c:v>Finance</c:v>
                </c:pt>
                <c:pt idx="1">
                  <c:v>HR</c:v>
                </c:pt>
                <c:pt idx="2">
                  <c:v>IT</c:v>
                </c:pt>
                <c:pt idx="3">
                  <c:v>Marketing</c:v>
                </c:pt>
                <c:pt idx="4">
                  <c:v>Operations</c:v>
                </c:pt>
                <c:pt idx="5">
                  <c:v>Sales</c:v>
                </c:pt>
              </c:strCache>
            </c:strRef>
          </c:cat>
          <c:val>
            <c:numRef>
              <c:f>'Salary&amp;Age Analysis'!$B$2:$B$8</c:f>
              <c:numCache>
                <c:formatCode>"₹"\ #,##0</c:formatCode>
                <c:ptCount val="6"/>
                <c:pt idx="0">
                  <c:v>75396.800000000003</c:v>
                </c:pt>
                <c:pt idx="1">
                  <c:v>53244.945945945947</c:v>
                </c:pt>
                <c:pt idx="2">
                  <c:v>76782.551724137928</c:v>
                </c:pt>
                <c:pt idx="3">
                  <c:v>61053.716981132078</c:v>
                </c:pt>
                <c:pt idx="4">
                  <c:v>56285.477272727272</c:v>
                </c:pt>
                <c:pt idx="5">
                  <c:v>58359.523809523809</c:v>
                </c:pt>
              </c:numCache>
            </c:numRef>
          </c:val>
          <c:extLst>
            <c:ext xmlns:c16="http://schemas.microsoft.com/office/drawing/2014/chart" uri="{C3380CC4-5D6E-409C-BE32-E72D297353CC}">
              <c16:uniqueId val="{00000000-215D-4A40-9F7D-7D927FEE24C8}"/>
            </c:ext>
          </c:extLst>
        </c:ser>
        <c:dLbls>
          <c:dLblPos val="outEnd"/>
          <c:showLegendKey val="0"/>
          <c:showVal val="1"/>
          <c:showCatName val="0"/>
          <c:showSerName val="0"/>
          <c:showPercent val="0"/>
          <c:showBubbleSize val="0"/>
        </c:dLbls>
        <c:gapWidth val="100"/>
        <c:overlap val="-24"/>
        <c:axId val="32588960"/>
        <c:axId val="572559152"/>
      </c:barChart>
      <c:catAx>
        <c:axId val="3258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559152"/>
        <c:crosses val="autoZero"/>
        <c:auto val="1"/>
        <c:lblAlgn val="ctr"/>
        <c:lblOffset val="100"/>
        <c:noMultiLvlLbl val="0"/>
      </c:catAx>
      <c:valAx>
        <c:axId val="5725591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[HR_Analytics_Dashboard_Nithyashree.xlsx]Salary&amp;Age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Headcount by Age Group</a:t>
            </a:r>
            <a:endParaRPr lang="en-US"/>
          </a:p>
        </c:rich>
      </c:tx>
      <c:layout>
        <c:manualLayout>
          <c:xMode val="edge"/>
          <c:yMode val="edge"/>
          <c:x val="0.25361111111111112"/>
          <c:y val="0.1286089238845144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'Salary&amp;Age Analysis'!$B$12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'Salary&amp;Age Analysis'!$A$13:$A$18</c:f>
              <c:strCache>
                <c:ptCount val="5"/>
                <c:pt idx="0">
                  <c:v>&lt;25</c:v>
                </c:pt>
                <c:pt idx="1">
                  <c:v>25-34</c:v>
                </c:pt>
                <c:pt idx="2">
                  <c:v>35-44</c:v>
                </c:pt>
                <c:pt idx="3">
                  <c:v>45-54</c:v>
                </c:pt>
                <c:pt idx="4">
                  <c:v>55+</c:v>
                </c:pt>
              </c:strCache>
            </c:strRef>
          </c:cat>
          <c:val>
            <c:numRef>
              <c:f>'Salary&amp;Age Analysis'!$B$13:$B$18</c:f>
              <c:numCache>
                <c:formatCode>General</c:formatCode>
                <c:ptCount val="5"/>
                <c:pt idx="0">
                  <c:v>11</c:v>
                </c:pt>
                <c:pt idx="1">
                  <c:v>62</c:v>
                </c:pt>
                <c:pt idx="2">
                  <c:v>55</c:v>
                </c:pt>
                <c:pt idx="3">
                  <c:v>68</c:v>
                </c:pt>
                <c:pt idx="4">
                  <c:v>54</c:v>
                </c:pt>
              </c:numCache>
            </c:numRef>
          </c:val>
          <c:extLst>
            <c:ext xmlns:c16="http://schemas.microsoft.com/office/drawing/2014/chart" uri="{C3380CC4-5D6E-409C-BE32-E72D297353CC}">
              <c16:uniqueId val="{00000000-E797-45B9-84C3-BC59EB297821}"/>
            </c:ext>
          </c:extLst>
        </c:ser>
        <c:dLbls>
          <c:dLblPos val="outEnd"/>
          <c:showLegendKey val="0"/>
          <c:showVal val="1"/>
          <c:showCatName val="0"/>
          <c:showSerName val="0"/>
          <c:showPercent val="0"/>
          <c:showBubbleSize val="0"/>
        </c:dLbls>
        <c:gapWidth val="100"/>
        <c:overlap val="-24"/>
        <c:axId val="2036327024"/>
        <c:axId val="1593346512"/>
      </c:barChart>
      <c:catAx>
        <c:axId val="2036327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346512"/>
        <c:crosses val="autoZero"/>
        <c:auto val="1"/>
        <c:lblAlgn val="ctr"/>
        <c:lblOffset val="100"/>
        <c:noMultiLvlLbl val="0"/>
      </c:catAx>
      <c:valAx>
        <c:axId val="1593346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3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Overall Attrition Rate</a:t>
            </a:r>
          </a:p>
        </c:rich>
      </c:tx>
      <c:layout>
        <c:manualLayout>
          <c:xMode val="edge"/>
          <c:yMode val="edge"/>
          <c:x val="0.17021105994031815"/>
          <c:y val="3.30668034663021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051575459949715"/>
          <c:y val="0.20928470536161792"/>
          <c:w val="0.4978829389788294"/>
          <c:h val="0.73560417195538164"/>
        </c:manualLayout>
      </c:layout>
      <c:pieChart>
        <c:varyColors val="1"/>
        <c:ser>
          <c:idx val="0"/>
          <c:order val="0"/>
          <c:tx>
            <c:strRef>
              <c:f>'Attrition Analysis'!$B$15</c:f>
              <c:strCache>
                <c:ptCount val="1"/>
                <c:pt idx="0">
                  <c:v>Count</c:v>
                </c:pt>
              </c:strCache>
            </c:strRef>
          </c:tx>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09-4445-9243-CBE3780F3EC4}"/>
              </c:ext>
            </c:extLst>
          </c:dPt>
          <c:dPt>
            <c:idx val="1"/>
            <c:bubble3D val="0"/>
            <c:explosion val="8"/>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09-4445-9243-CBE3780F3E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Analysis'!$A$16:$A$17</c:f>
              <c:strCache>
                <c:ptCount val="2"/>
                <c:pt idx="0">
                  <c:v>Yes</c:v>
                </c:pt>
                <c:pt idx="1">
                  <c:v>No</c:v>
                </c:pt>
              </c:strCache>
            </c:strRef>
          </c:cat>
          <c:val>
            <c:numRef>
              <c:f>'Attrition Analysis'!$B$16:$B$17</c:f>
              <c:numCache>
                <c:formatCode>General</c:formatCode>
                <c:ptCount val="2"/>
                <c:pt idx="0">
                  <c:v>34</c:v>
                </c:pt>
                <c:pt idx="1">
                  <c:v>216</c:v>
                </c:pt>
              </c:numCache>
            </c:numRef>
          </c:val>
          <c:extLst>
            <c:ext xmlns:c16="http://schemas.microsoft.com/office/drawing/2014/chart" uri="{C3380CC4-5D6E-409C-BE32-E72D297353CC}">
              <c16:uniqueId val="{00000004-2E09-4445-9243-CBE3780F3EC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[HR_Analytics_Dashboard_Nithyashree.xlsx]Attrition Analysis!PivotTable1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Count by Department and Gender</a:t>
            </a:r>
          </a:p>
        </c:rich>
      </c:tx>
      <c:layout>
        <c:manualLayout>
          <c:xMode val="edge"/>
          <c:yMode val="edge"/>
          <c:x val="0.24361447917169862"/>
          <c:y val="0.1160533425968812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Analysis'!$B$1:$B$3</c:f>
              <c:strCache>
                <c:ptCount val="1"/>
                <c:pt idx="0">
                  <c:v>Yes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Analysis'!$A$4:$A$10</c:f>
              <c:strCache>
                <c:ptCount val="6"/>
                <c:pt idx="0">
                  <c:v>Finance</c:v>
                </c:pt>
                <c:pt idx="1">
                  <c:v>HR</c:v>
                </c:pt>
                <c:pt idx="2">
                  <c:v>IT</c:v>
                </c:pt>
                <c:pt idx="3">
                  <c:v>Marketing</c:v>
                </c:pt>
                <c:pt idx="4">
                  <c:v>Operations</c:v>
                </c:pt>
                <c:pt idx="5">
                  <c:v>Sales</c:v>
                </c:pt>
              </c:strCache>
            </c:strRef>
          </c:cat>
          <c:val>
            <c:numRef>
              <c:f>'Attrition Analysis'!$B$4:$B$10</c:f>
              <c:numCache>
                <c:formatCode>General</c:formatCode>
                <c:ptCount val="6"/>
                <c:pt idx="0">
                  <c:v>3</c:v>
                </c:pt>
                <c:pt idx="1">
                  <c:v>1</c:v>
                </c:pt>
                <c:pt idx="2">
                  <c:v>6</c:v>
                </c:pt>
                <c:pt idx="3">
                  <c:v>5</c:v>
                </c:pt>
                <c:pt idx="5">
                  <c:v>2</c:v>
                </c:pt>
              </c:numCache>
            </c:numRef>
          </c:val>
          <c:extLst>
            <c:ext xmlns:c16="http://schemas.microsoft.com/office/drawing/2014/chart" uri="{C3380CC4-5D6E-409C-BE32-E72D297353CC}">
              <c16:uniqueId val="{00000000-BE4E-4ED7-B1B8-1A86920DA9FE}"/>
            </c:ext>
          </c:extLst>
        </c:ser>
        <c:ser>
          <c:idx val="1"/>
          <c:order val="1"/>
          <c:tx>
            <c:strRef>
              <c:f>'Attrition Analysis'!$C$1:$C$3</c:f>
              <c:strCache>
                <c:ptCount val="1"/>
                <c:pt idx="0">
                  <c:v>Yes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Analysis'!$A$4:$A$10</c:f>
              <c:strCache>
                <c:ptCount val="6"/>
                <c:pt idx="0">
                  <c:v>Finance</c:v>
                </c:pt>
                <c:pt idx="1">
                  <c:v>HR</c:v>
                </c:pt>
                <c:pt idx="2">
                  <c:v>IT</c:v>
                </c:pt>
                <c:pt idx="3">
                  <c:v>Marketing</c:v>
                </c:pt>
                <c:pt idx="4">
                  <c:v>Operations</c:v>
                </c:pt>
                <c:pt idx="5">
                  <c:v>Sales</c:v>
                </c:pt>
              </c:strCache>
            </c:strRef>
          </c:cat>
          <c:val>
            <c:numRef>
              <c:f>'Attrition Analysis'!$C$4:$C$10</c:f>
              <c:numCache>
                <c:formatCode>General</c:formatCode>
                <c:ptCount val="6"/>
                <c:pt idx="0">
                  <c:v>7</c:v>
                </c:pt>
                <c:pt idx="1">
                  <c:v>2</c:v>
                </c:pt>
                <c:pt idx="2">
                  <c:v>1</c:v>
                </c:pt>
                <c:pt idx="4">
                  <c:v>5</c:v>
                </c:pt>
                <c:pt idx="5">
                  <c:v>2</c:v>
                </c:pt>
              </c:numCache>
            </c:numRef>
          </c:val>
          <c:extLst>
            <c:ext xmlns:c16="http://schemas.microsoft.com/office/drawing/2014/chart" uri="{C3380CC4-5D6E-409C-BE32-E72D297353CC}">
              <c16:uniqueId val="{00000001-0865-4EF0-AC52-EDED712B9C41}"/>
            </c:ext>
          </c:extLst>
        </c:ser>
        <c:dLbls>
          <c:dLblPos val="inEnd"/>
          <c:showLegendKey val="0"/>
          <c:showVal val="1"/>
          <c:showCatName val="0"/>
          <c:showSerName val="0"/>
          <c:showPercent val="0"/>
          <c:showBubbleSize val="0"/>
        </c:dLbls>
        <c:gapWidth val="100"/>
        <c:overlap val="-24"/>
        <c:axId val="434102527"/>
        <c:axId val="218116463"/>
      </c:barChart>
      <c:catAx>
        <c:axId val="43410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116463"/>
        <c:crosses val="autoZero"/>
        <c:auto val="1"/>
        <c:lblAlgn val="ctr"/>
        <c:lblOffset val="100"/>
        <c:noMultiLvlLbl val="0"/>
      </c:catAx>
      <c:valAx>
        <c:axId val="218116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10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Overall Attrition Rate</a:t>
            </a:r>
          </a:p>
        </c:rich>
      </c:tx>
      <c:layout>
        <c:manualLayout>
          <c:xMode val="edge"/>
          <c:yMode val="edge"/>
          <c:x val="0.17021105994031815"/>
          <c:y val="3.30668034663021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051575459949715"/>
          <c:y val="0.20928470536161792"/>
          <c:w val="0.4978829389788294"/>
          <c:h val="0.73560417195538164"/>
        </c:manualLayout>
      </c:layout>
      <c:pieChart>
        <c:varyColors val="1"/>
        <c:ser>
          <c:idx val="0"/>
          <c:order val="0"/>
          <c:tx>
            <c:strRef>
              <c:f>'Attrition Analysis'!$B$15</c:f>
              <c:strCache>
                <c:ptCount val="1"/>
                <c:pt idx="0">
                  <c:v>Count</c:v>
                </c:pt>
              </c:strCache>
            </c:strRef>
          </c:tx>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BE-451E-8F1A-59D8A5CDCD86}"/>
              </c:ext>
            </c:extLst>
          </c:dPt>
          <c:dPt>
            <c:idx val="1"/>
            <c:bubble3D val="0"/>
            <c:explosion val="8"/>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BE-451E-8F1A-59D8A5CDCD8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Analysis'!$A$16:$A$17</c:f>
              <c:strCache>
                <c:ptCount val="2"/>
                <c:pt idx="0">
                  <c:v>Yes</c:v>
                </c:pt>
                <c:pt idx="1">
                  <c:v>No</c:v>
                </c:pt>
              </c:strCache>
            </c:strRef>
          </c:cat>
          <c:val>
            <c:numRef>
              <c:f>'Attrition Analysis'!$B$16:$B$17</c:f>
              <c:numCache>
                <c:formatCode>General</c:formatCode>
                <c:ptCount val="2"/>
                <c:pt idx="0">
                  <c:v>34</c:v>
                </c:pt>
                <c:pt idx="1">
                  <c:v>216</c:v>
                </c:pt>
              </c:numCache>
            </c:numRef>
          </c:val>
          <c:extLst>
            <c:ext xmlns:c16="http://schemas.microsoft.com/office/drawing/2014/chart" uri="{C3380CC4-5D6E-409C-BE32-E72D297353CC}">
              <c16:uniqueId val="{00000000-50BE-451E-8F1A-59D8A5CDCD8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[HR_Analytics_Dashboard_Nithyashree.xlsx]Salary&amp;Age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'Salary&amp;Age 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'Salary&amp;Age Analysis'!$A$2:$A$8</c:f>
              <c:strCache>
                <c:ptCount val="6"/>
                <c:pt idx="0">
                  <c:v>Finance</c:v>
                </c:pt>
                <c:pt idx="1">
                  <c:v>HR</c:v>
                </c:pt>
                <c:pt idx="2">
                  <c:v>IT</c:v>
                </c:pt>
                <c:pt idx="3">
                  <c:v>Marketing</c:v>
                </c:pt>
                <c:pt idx="4">
                  <c:v>Operations</c:v>
                </c:pt>
                <c:pt idx="5">
                  <c:v>Sales</c:v>
                </c:pt>
              </c:strCache>
            </c:strRef>
          </c:cat>
          <c:val>
            <c:numRef>
              <c:f>'Salary&amp;Age Analysis'!$B$2:$B$8</c:f>
              <c:numCache>
                <c:formatCode>"₹"\ #,##0</c:formatCode>
                <c:ptCount val="6"/>
                <c:pt idx="0">
                  <c:v>75396.800000000003</c:v>
                </c:pt>
                <c:pt idx="1">
                  <c:v>53244.945945945947</c:v>
                </c:pt>
                <c:pt idx="2">
                  <c:v>76782.551724137928</c:v>
                </c:pt>
                <c:pt idx="3">
                  <c:v>61053.716981132078</c:v>
                </c:pt>
                <c:pt idx="4">
                  <c:v>56285.477272727272</c:v>
                </c:pt>
                <c:pt idx="5">
                  <c:v>58359.523809523809</c:v>
                </c:pt>
              </c:numCache>
            </c:numRef>
          </c:val>
          <c:extLst>
            <c:ext xmlns:c16="http://schemas.microsoft.com/office/drawing/2014/chart" uri="{C3380CC4-5D6E-409C-BE32-E72D297353CC}">
              <c16:uniqueId val="{00000000-5C0B-41C2-9322-26FE25428155}"/>
            </c:ext>
          </c:extLst>
        </c:ser>
        <c:dLbls>
          <c:dLblPos val="outEnd"/>
          <c:showLegendKey val="0"/>
          <c:showVal val="1"/>
          <c:showCatName val="0"/>
          <c:showSerName val="0"/>
          <c:showPercent val="0"/>
          <c:showBubbleSize val="0"/>
        </c:dLbls>
        <c:gapWidth val="100"/>
        <c:overlap val="-24"/>
        <c:axId val="32588960"/>
        <c:axId val="572559152"/>
      </c:barChart>
      <c:catAx>
        <c:axId val="3258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559152"/>
        <c:crosses val="autoZero"/>
        <c:auto val="1"/>
        <c:lblAlgn val="ctr"/>
        <c:lblOffset val="100"/>
        <c:noMultiLvlLbl val="0"/>
      </c:catAx>
      <c:valAx>
        <c:axId val="5725591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[HR_Analytics_Dashboard_Nithyashree.xlsx]Salary&amp;Age 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Headcount by Age Group</a:t>
            </a:r>
            <a:endParaRPr lang="en-US"/>
          </a:p>
        </c:rich>
      </c:tx>
      <c:layout>
        <c:manualLayout>
          <c:xMode val="edge"/>
          <c:yMode val="edge"/>
          <c:x val="0.25361111111111112"/>
          <c:y val="0.1286089238845144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'Salary&amp;Age Analysis'!$B$12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'Salary&amp;Age Analysis'!$A$13:$A$18</c:f>
              <c:strCache>
                <c:ptCount val="5"/>
                <c:pt idx="0">
                  <c:v>&lt;25</c:v>
                </c:pt>
                <c:pt idx="1">
                  <c:v>25-34</c:v>
                </c:pt>
                <c:pt idx="2">
                  <c:v>35-44</c:v>
                </c:pt>
                <c:pt idx="3">
                  <c:v>45-54</c:v>
                </c:pt>
                <c:pt idx="4">
                  <c:v>55+</c:v>
                </c:pt>
              </c:strCache>
            </c:strRef>
          </c:cat>
          <c:val>
            <c:numRef>
              <c:f>'Salary&amp;Age Analysis'!$B$13:$B$18</c:f>
              <c:numCache>
                <c:formatCode>General</c:formatCode>
                <c:ptCount val="5"/>
                <c:pt idx="0">
                  <c:v>11</c:v>
                </c:pt>
                <c:pt idx="1">
                  <c:v>62</c:v>
                </c:pt>
                <c:pt idx="2">
                  <c:v>55</c:v>
                </c:pt>
                <c:pt idx="3">
                  <c:v>68</c:v>
                </c:pt>
                <c:pt idx="4">
                  <c:v>54</c:v>
                </c:pt>
              </c:numCache>
            </c:numRef>
          </c:val>
          <c:extLst>
            <c:ext xmlns:c16="http://schemas.microsoft.com/office/drawing/2014/chart" uri="{C3380CC4-5D6E-409C-BE32-E72D297353CC}">
              <c16:uniqueId val="{00000000-10E0-46D9-873A-F3833B242390}"/>
            </c:ext>
          </c:extLst>
        </c:ser>
        <c:dLbls>
          <c:dLblPos val="outEnd"/>
          <c:showLegendKey val="0"/>
          <c:showVal val="1"/>
          <c:showCatName val="0"/>
          <c:showSerName val="0"/>
          <c:showPercent val="0"/>
          <c:showBubbleSize val="0"/>
        </c:dLbls>
        <c:gapWidth val="100"/>
        <c:overlap val="-24"/>
        <c:axId val="2036327024"/>
        <c:axId val="1593346512"/>
      </c:barChart>
      <c:catAx>
        <c:axId val="2036327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346512"/>
        <c:crosses val="autoZero"/>
        <c:auto val="1"/>
        <c:lblAlgn val="ctr"/>
        <c:lblOffset val="100"/>
        <c:noMultiLvlLbl val="0"/>
      </c:catAx>
      <c:valAx>
        <c:axId val="1593346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3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29445</xdr:colOff>
      <xdr:row>3</xdr:row>
      <xdr:rowOff>52618</xdr:rowOff>
    </xdr:from>
    <xdr:to>
      <xdr:col>13</xdr:col>
      <xdr:colOff>321972</xdr:colOff>
      <xdr:row>17</xdr:row>
      <xdr:rowOff>171678</xdr:rowOff>
    </xdr:to>
    <xdr:graphicFrame macro="">
      <xdr:nvGraphicFramePr>
        <xdr:cNvPr id="2" name="Chart 1">
          <a:extLst>
            <a:ext uri="{FF2B5EF4-FFF2-40B4-BE49-F238E27FC236}">
              <a16:creationId xmlns:a16="http://schemas.microsoft.com/office/drawing/2014/main" id="{BABA6FFC-8326-4B3A-926A-96E32140B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17076</xdr:colOff>
      <xdr:row>18</xdr:row>
      <xdr:rowOff>82769</xdr:rowOff>
    </xdr:from>
    <xdr:to>
      <xdr:col>11</xdr:col>
      <xdr:colOff>590283</xdr:colOff>
      <xdr:row>34</xdr:row>
      <xdr:rowOff>66099</xdr:rowOff>
    </xdr:to>
    <xdr:graphicFrame macro="">
      <xdr:nvGraphicFramePr>
        <xdr:cNvPr id="4" name="Chart 3">
          <a:extLst>
            <a:ext uri="{FF2B5EF4-FFF2-40B4-BE49-F238E27FC236}">
              <a16:creationId xmlns:a16="http://schemas.microsoft.com/office/drawing/2014/main" id="{6436DEC9-3A3D-43E8-ACA1-40B324B11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53663</xdr:colOff>
      <xdr:row>18</xdr:row>
      <xdr:rowOff>85545</xdr:rowOff>
    </xdr:from>
    <xdr:to>
      <xdr:col>21</xdr:col>
      <xdr:colOff>536620</xdr:colOff>
      <xdr:row>34</xdr:row>
      <xdr:rowOff>40246</xdr:rowOff>
    </xdr:to>
    <xdr:graphicFrame macro="">
      <xdr:nvGraphicFramePr>
        <xdr:cNvPr id="5" name="Chart 4">
          <a:extLst>
            <a:ext uri="{FF2B5EF4-FFF2-40B4-BE49-F238E27FC236}">
              <a16:creationId xmlns:a16="http://schemas.microsoft.com/office/drawing/2014/main" id="{2974E8B2-AD57-4CA0-A0CE-1A4326A6F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393754</xdr:colOff>
      <xdr:row>3</xdr:row>
      <xdr:rowOff>53662</xdr:rowOff>
    </xdr:from>
    <xdr:to>
      <xdr:col>22</xdr:col>
      <xdr:colOff>120738</xdr:colOff>
      <xdr:row>17</xdr:row>
      <xdr:rowOff>177363</xdr:rowOff>
    </xdr:to>
    <xdr:graphicFrame macro="">
      <xdr:nvGraphicFramePr>
        <xdr:cNvPr id="6" name="Chart 5">
          <a:extLst>
            <a:ext uri="{FF2B5EF4-FFF2-40B4-BE49-F238E27FC236}">
              <a16:creationId xmlns:a16="http://schemas.microsoft.com/office/drawing/2014/main" id="{212AB86E-319B-4A3F-B6F5-8590CE8C6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285079</xdr:colOff>
      <xdr:row>3</xdr:row>
      <xdr:rowOff>51648</xdr:rowOff>
    </xdr:from>
    <xdr:to>
      <xdr:col>25</xdr:col>
      <xdr:colOff>584513</xdr:colOff>
      <xdr:row>18</xdr:row>
      <xdr:rowOff>187816</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8D2CEC86-4936-074E-EE78-22D8EB0C239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566417" y="494359"/>
              <a:ext cx="1828800" cy="2819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50306</xdr:colOff>
      <xdr:row>3</xdr:row>
      <xdr:rowOff>44942</xdr:rowOff>
    </xdr:from>
    <xdr:to>
      <xdr:col>28</xdr:col>
      <xdr:colOff>536619</xdr:colOff>
      <xdr:row>18</xdr:row>
      <xdr:rowOff>187816</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A0CC2E9E-3AAE-6B42-BAE3-9C8D005AA1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464707" y="487653"/>
              <a:ext cx="1801032" cy="2825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40968</xdr:colOff>
      <xdr:row>0</xdr:row>
      <xdr:rowOff>1</xdr:rowOff>
    </xdr:from>
    <xdr:to>
      <xdr:col>15</xdr:col>
      <xdr:colOff>406549</xdr:colOff>
      <xdr:row>15</xdr:row>
      <xdr:rowOff>102419</xdr:rowOff>
    </xdr:to>
    <xdr:graphicFrame macro="">
      <xdr:nvGraphicFramePr>
        <xdr:cNvPr id="3" name="Chart 2">
          <a:extLst>
            <a:ext uri="{FF2B5EF4-FFF2-40B4-BE49-F238E27FC236}">
              <a16:creationId xmlns:a16="http://schemas.microsoft.com/office/drawing/2014/main" id="{2FAF45AE-FBA5-2B10-F1AD-6584DAD34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440402</xdr:colOff>
      <xdr:row>0</xdr:row>
      <xdr:rowOff>0</xdr:rowOff>
    </xdr:from>
    <xdr:to>
      <xdr:col>21</xdr:col>
      <xdr:colOff>163871</xdr:colOff>
      <xdr:row>12</xdr:row>
      <xdr:rowOff>0</xdr:rowOff>
    </xdr:to>
    <xdr:graphicFrame macro="">
      <xdr:nvGraphicFramePr>
        <xdr:cNvPr id="4" name="Chart 3">
          <a:extLst>
            <a:ext uri="{FF2B5EF4-FFF2-40B4-BE49-F238E27FC236}">
              <a16:creationId xmlns:a16="http://schemas.microsoft.com/office/drawing/2014/main" id="{3B695184-F51C-020E-D9D8-7BA18E19E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476250</xdr:colOff>
      <xdr:row>0</xdr:row>
      <xdr:rowOff>0</xdr:rowOff>
    </xdr:from>
    <xdr:to>
      <xdr:col>10</xdr:col>
      <xdr:colOff>9525</xdr:colOff>
      <xdr:row>16</xdr:row>
      <xdr:rowOff>190499</xdr:rowOff>
    </xdr:to>
    <xdr:graphicFrame macro="">
      <xdr:nvGraphicFramePr>
        <xdr:cNvPr id="2" name="Chart 1">
          <a:extLst>
            <a:ext uri="{FF2B5EF4-FFF2-40B4-BE49-F238E27FC236}">
              <a16:creationId xmlns:a16="http://schemas.microsoft.com/office/drawing/2014/main" id="{B1FA1789-CB4A-DE3D-3E09-49770B6BC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19049</xdr:colOff>
      <xdr:row>0</xdr:row>
      <xdr:rowOff>9525</xdr:rowOff>
    </xdr:from>
    <xdr:to>
      <xdr:col>17</xdr:col>
      <xdr:colOff>428624</xdr:colOff>
      <xdr:row>15</xdr:row>
      <xdr:rowOff>19050</xdr:rowOff>
    </xdr:to>
    <xdr:graphicFrame macro="">
      <xdr:nvGraphicFramePr>
        <xdr:cNvPr id="3" name="Chart 2">
          <a:extLst>
            <a:ext uri="{FF2B5EF4-FFF2-40B4-BE49-F238E27FC236}">
              <a16:creationId xmlns:a16="http://schemas.microsoft.com/office/drawing/2014/main" id="{D28EAD22-F576-5065-3CA5-9A613A5C5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YASHREE S" refreshedDate="46262.206848611109" createdVersion="8" refreshedVersion="8" minRefreshableVersion="3" recordCount="250" xr:uid="{14B3C00E-C045-4839-8997-55778FE3499C}">
  <cacheSource type="worksheet">
    <worksheetSource ref="A1:F251" sheet="HR_Records"/>
  </cacheSource>
  <cacheFields count="6">
    <cacheField name="EmployeeID" numFmtId="0">
      <sharedItems/>
    </cacheField>
    <cacheField name="Age" numFmtId="0">
      <sharedItems containsSemiMixedTypes="0" containsString="0" containsNumber="1" containsInteger="1" minValue="22" maxValue="60"/>
    </cacheField>
    <cacheField name="Gender" numFmtId="0">
      <sharedItems count="2">
        <s v="Male"/>
        <s v="Female"/>
      </sharedItems>
    </cacheField>
    <cacheField name="Department" numFmtId="0">
      <sharedItems count="6">
        <s v="Operations"/>
        <s v="Marketing"/>
        <s v="HR"/>
        <s v="Finance"/>
        <s v="IT"/>
        <s v="Sales"/>
      </sharedItems>
    </cacheField>
    <cacheField name="Salary" numFmtId="0">
      <sharedItems containsSemiMixedTypes="0" containsString="0" containsNumber="1" containsInteger="1" minValue="39674" maxValue="94021"/>
    </cacheField>
    <cacheField name="AttritionStatus" numFmtId="0">
      <sharedItems count="2">
        <s v="No"/>
        <s v="Yes"/>
      </sharedItems>
    </cacheField>
  </cacheFields>
  <extLst>
    <ext xmlns:x14="http://schemas.microsoft.com/office/spreadsheetml/2009/9/main" uri="{725AE2AE-9491-48be-B2B4-4EB974FC3084}">
      <x14:pivotCacheDefinition pivotCacheId="20055853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YASHREE S" refreshedDate="46262.445821064815" createdVersion="8" refreshedVersion="8" minRefreshableVersion="3" recordCount="250" xr:uid="{263800FA-0304-47A3-9910-3D670DC6BD05}">
  <cacheSource type="worksheet">
    <worksheetSource name="Table1"/>
  </cacheSource>
  <cacheFields count="7">
    <cacheField name="EmployeeID" numFmtId="0">
      <sharedItems/>
    </cacheField>
    <cacheField name="Age" numFmtId="0">
      <sharedItems containsSemiMixedTypes="0" containsString="0" containsNumber="1" containsInteger="1" minValue="22" maxValue="60" count="39">
        <n v="29"/>
        <n v="56"/>
        <n v="54"/>
        <n v="36"/>
        <n v="32"/>
        <n v="28"/>
        <n v="24"/>
        <n v="40"/>
        <n v="45"/>
        <n v="26"/>
        <n v="57"/>
        <n v="42"/>
        <n v="31"/>
        <n v="59"/>
        <n v="55"/>
        <n v="22"/>
        <n v="41"/>
        <n v="53"/>
        <n v="50"/>
        <n v="52"/>
        <n v="49"/>
        <n v="34"/>
        <n v="37"/>
        <n v="60"/>
        <n v="58"/>
        <n v="47"/>
        <n v="30"/>
        <n v="38"/>
        <n v="48"/>
        <n v="46"/>
        <n v="51"/>
        <n v="25"/>
        <n v="43"/>
        <n v="44"/>
        <n v="23"/>
        <n v="33"/>
        <n v="35"/>
        <n v="27"/>
        <n v="39"/>
      </sharedItems>
    </cacheField>
    <cacheField name="Gender" numFmtId="0">
      <sharedItems/>
    </cacheField>
    <cacheField name="Department" numFmtId="0">
      <sharedItems count="6">
        <s v="Operations"/>
        <s v="Marketing"/>
        <s v="HR"/>
        <s v="Finance"/>
        <s v="IT"/>
        <s v="Sales"/>
      </sharedItems>
    </cacheField>
    <cacheField name="Salary" numFmtId="0">
      <sharedItems containsSemiMixedTypes="0" containsString="0" containsNumber="1" containsInteger="1" minValue="39674" maxValue="94021"/>
    </cacheField>
    <cacheField name="AttritionStatus" numFmtId="0">
      <sharedItems/>
    </cacheField>
    <cacheField name="Age Group" numFmtId="0">
      <sharedItems count="5">
        <s v="25-34"/>
        <s v="55+"/>
        <s v="45-54"/>
        <s v="35-44"/>
        <s v="&lt;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EMP0001"/>
    <n v="29"/>
    <x v="0"/>
    <x v="0"/>
    <n v="41548"/>
    <x v="0"/>
  </r>
  <r>
    <s v="EMP0002"/>
    <n v="56"/>
    <x v="0"/>
    <x v="1"/>
    <n v="65011"/>
    <x v="0"/>
  </r>
  <r>
    <s v="EMP0003"/>
    <n v="54"/>
    <x v="0"/>
    <x v="1"/>
    <n v="65180"/>
    <x v="0"/>
  </r>
  <r>
    <s v="EMP0004"/>
    <n v="36"/>
    <x v="1"/>
    <x v="1"/>
    <n v="58501"/>
    <x v="0"/>
  </r>
  <r>
    <s v="EMP0005"/>
    <n v="32"/>
    <x v="1"/>
    <x v="2"/>
    <n v="45111"/>
    <x v="0"/>
  </r>
  <r>
    <s v="EMP0006"/>
    <n v="28"/>
    <x v="0"/>
    <x v="3"/>
    <n v="65470"/>
    <x v="0"/>
  </r>
  <r>
    <s v="EMP0007"/>
    <n v="24"/>
    <x v="1"/>
    <x v="1"/>
    <n v="52303"/>
    <x v="1"/>
  </r>
  <r>
    <s v="EMP0008"/>
    <n v="40"/>
    <x v="1"/>
    <x v="1"/>
    <n v="53487"/>
    <x v="0"/>
  </r>
  <r>
    <s v="EMP0009"/>
    <n v="40"/>
    <x v="0"/>
    <x v="4"/>
    <n v="79039"/>
    <x v="0"/>
  </r>
  <r>
    <s v="EMP0010"/>
    <n v="45"/>
    <x v="0"/>
    <x v="2"/>
    <n v="56647"/>
    <x v="0"/>
  </r>
  <r>
    <s v="EMP0011"/>
    <n v="26"/>
    <x v="0"/>
    <x v="1"/>
    <n v="48365"/>
    <x v="0"/>
  </r>
  <r>
    <s v="EMP0012"/>
    <n v="57"/>
    <x v="0"/>
    <x v="0"/>
    <n v="61821"/>
    <x v="1"/>
  </r>
  <r>
    <s v="EMP0013"/>
    <n v="24"/>
    <x v="1"/>
    <x v="3"/>
    <n v="58755"/>
    <x v="0"/>
  </r>
  <r>
    <s v="EMP0014"/>
    <n v="42"/>
    <x v="0"/>
    <x v="0"/>
    <n v="56069"/>
    <x v="0"/>
  </r>
  <r>
    <s v="EMP0015"/>
    <n v="31"/>
    <x v="1"/>
    <x v="4"/>
    <n v="70200"/>
    <x v="0"/>
  </r>
  <r>
    <s v="EMP0016"/>
    <n v="59"/>
    <x v="1"/>
    <x v="1"/>
    <n v="67943"/>
    <x v="0"/>
  </r>
  <r>
    <s v="EMP0017"/>
    <n v="54"/>
    <x v="1"/>
    <x v="5"/>
    <n v="72781"/>
    <x v="0"/>
  </r>
  <r>
    <s v="EMP0018"/>
    <n v="32"/>
    <x v="1"/>
    <x v="1"/>
    <n v="51370"/>
    <x v="0"/>
  </r>
  <r>
    <s v="EMP0019"/>
    <n v="55"/>
    <x v="1"/>
    <x v="1"/>
    <n v="71494"/>
    <x v="0"/>
  </r>
  <r>
    <s v="EMP0020"/>
    <n v="56"/>
    <x v="1"/>
    <x v="0"/>
    <n v="57730"/>
    <x v="0"/>
  </r>
  <r>
    <s v="EMP0021"/>
    <n v="22"/>
    <x v="1"/>
    <x v="1"/>
    <n v="48061"/>
    <x v="1"/>
  </r>
  <r>
    <s v="EMP0022"/>
    <n v="41"/>
    <x v="0"/>
    <x v="4"/>
    <n v="73444"/>
    <x v="0"/>
  </r>
  <r>
    <s v="EMP0023"/>
    <n v="55"/>
    <x v="0"/>
    <x v="1"/>
    <n v="62704"/>
    <x v="0"/>
  </r>
  <r>
    <s v="EMP0024"/>
    <n v="41"/>
    <x v="0"/>
    <x v="5"/>
    <n v="55427"/>
    <x v="1"/>
  </r>
  <r>
    <s v="EMP0025"/>
    <n v="53"/>
    <x v="0"/>
    <x v="1"/>
    <n v="69297"/>
    <x v="0"/>
  </r>
  <r>
    <s v="EMP0026"/>
    <n v="57"/>
    <x v="0"/>
    <x v="2"/>
    <n v="66087"/>
    <x v="0"/>
  </r>
  <r>
    <s v="EMP0027"/>
    <n v="56"/>
    <x v="0"/>
    <x v="0"/>
    <n v="62860"/>
    <x v="0"/>
  </r>
  <r>
    <s v="EMP0028"/>
    <n v="50"/>
    <x v="1"/>
    <x v="5"/>
    <n v="56182"/>
    <x v="1"/>
  </r>
  <r>
    <s v="EMP0029"/>
    <n v="57"/>
    <x v="0"/>
    <x v="1"/>
    <n v="62421"/>
    <x v="0"/>
  </r>
  <r>
    <s v="EMP0030"/>
    <n v="36"/>
    <x v="0"/>
    <x v="5"/>
    <n v="53184"/>
    <x v="0"/>
  </r>
  <r>
    <s v="EMP0031"/>
    <n v="53"/>
    <x v="0"/>
    <x v="1"/>
    <n v="65934"/>
    <x v="0"/>
  </r>
  <r>
    <s v="EMP0032"/>
    <n v="52"/>
    <x v="0"/>
    <x v="3"/>
    <n v="81635"/>
    <x v="1"/>
  </r>
  <r>
    <s v="EMP0033"/>
    <n v="49"/>
    <x v="1"/>
    <x v="3"/>
    <n v="79260"/>
    <x v="1"/>
  </r>
  <r>
    <s v="EMP0034"/>
    <n v="28"/>
    <x v="0"/>
    <x v="3"/>
    <n v="66989"/>
    <x v="1"/>
  </r>
  <r>
    <s v="EMP0035"/>
    <n v="34"/>
    <x v="0"/>
    <x v="1"/>
    <n v="54866"/>
    <x v="0"/>
  </r>
  <r>
    <s v="EMP0036"/>
    <n v="37"/>
    <x v="0"/>
    <x v="3"/>
    <n v="74907"/>
    <x v="1"/>
  </r>
  <r>
    <s v="EMP0037"/>
    <n v="56"/>
    <x v="0"/>
    <x v="5"/>
    <n v="77137"/>
    <x v="0"/>
  </r>
  <r>
    <s v="EMP0038"/>
    <n v="53"/>
    <x v="1"/>
    <x v="4"/>
    <n v="94021"/>
    <x v="0"/>
  </r>
  <r>
    <s v="EMP0039"/>
    <n v="22"/>
    <x v="1"/>
    <x v="2"/>
    <n v="44281"/>
    <x v="0"/>
  </r>
  <r>
    <s v="EMP0040"/>
    <n v="57"/>
    <x v="1"/>
    <x v="4"/>
    <n v="80064"/>
    <x v="1"/>
  </r>
  <r>
    <s v="EMP0041"/>
    <n v="56"/>
    <x v="0"/>
    <x v="0"/>
    <n v="55332"/>
    <x v="0"/>
  </r>
  <r>
    <s v="EMP0042"/>
    <n v="55"/>
    <x v="0"/>
    <x v="5"/>
    <n v="70693"/>
    <x v="0"/>
  </r>
  <r>
    <s v="EMP0043"/>
    <n v="60"/>
    <x v="0"/>
    <x v="0"/>
    <n v="70804"/>
    <x v="0"/>
  </r>
  <r>
    <s v="EMP0044"/>
    <n v="58"/>
    <x v="0"/>
    <x v="1"/>
    <n v="74056"/>
    <x v="0"/>
  </r>
  <r>
    <s v="EMP0045"/>
    <n v="59"/>
    <x v="1"/>
    <x v="2"/>
    <n v="62308"/>
    <x v="0"/>
  </r>
  <r>
    <s v="EMP0046"/>
    <n v="47"/>
    <x v="0"/>
    <x v="0"/>
    <n v="57726"/>
    <x v="0"/>
  </r>
  <r>
    <s v="EMP0047"/>
    <n v="26"/>
    <x v="0"/>
    <x v="3"/>
    <n v="63346"/>
    <x v="1"/>
  </r>
  <r>
    <s v="EMP0048"/>
    <n v="56"/>
    <x v="0"/>
    <x v="1"/>
    <n v="69574"/>
    <x v="0"/>
  </r>
  <r>
    <s v="EMP0049"/>
    <n v="37"/>
    <x v="1"/>
    <x v="2"/>
    <n v="51853"/>
    <x v="0"/>
  </r>
  <r>
    <s v="EMP0050"/>
    <n v="55"/>
    <x v="0"/>
    <x v="0"/>
    <n v="65077"/>
    <x v="0"/>
  </r>
  <r>
    <s v="EMP0051"/>
    <n v="30"/>
    <x v="1"/>
    <x v="5"/>
    <n v="53698"/>
    <x v="0"/>
  </r>
  <r>
    <s v="EMP0052"/>
    <n v="40"/>
    <x v="0"/>
    <x v="0"/>
    <n v="51785"/>
    <x v="0"/>
  </r>
  <r>
    <s v="EMP0053"/>
    <n v="54"/>
    <x v="1"/>
    <x v="2"/>
    <n v="72054"/>
    <x v="1"/>
  </r>
  <r>
    <s v="EMP0054"/>
    <n v="49"/>
    <x v="1"/>
    <x v="5"/>
    <n v="58016"/>
    <x v="0"/>
  </r>
  <r>
    <s v="EMP0055"/>
    <n v="38"/>
    <x v="0"/>
    <x v="0"/>
    <n v="51580"/>
    <x v="0"/>
  </r>
  <r>
    <s v="EMP0056"/>
    <n v="29"/>
    <x v="0"/>
    <x v="0"/>
    <n v="46328"/>
    <x v="0"/>
  </r>
  <r>
    <s v="EMP0057"/>
    <n v="59"/>
    <x v="0"/>
    <x v="3"/>
    <n v="75623"/>
    <x v="0"/>
  </r>
  <r>
    <s v="EMP0058"/>
    <n v="24"/>
    <x v="1"/>
    <x v="4"/>
    <n v="67817"/>
    <x v="0"/>
  </r>
  <r>
    <s v="EMP0059"/>
    <n v="57"/>
    <x v="1"/>
    <x v="1"/>
    <n v="78521"/>
    <x v="0"/>
  </r>
  <r>
    <s v="EMP0060"/>
    <n v="32"/>
    <x v="0"/>
    <x v="3"/>
    <n v="66016"/>
    <x v="0"/>
  </r>
  <r>
    <s v="EMP0061"/>
    <n v="48"/>
    <x v="0"/>
    <x v="2"/>
    <n v="56079"/>
    <x v="0"/>
  </r>
  <r>
    <s v="EMP0062"/>
    <n v="24"/>
    <x v="1"/>
    <x v="4"/>
    <n v="69347"/>
    <x v="0"/>
  </r>
  <r>
    <s v="EMP0063"/>
    <n v="36"/>
    <x v="0"/>
    <x v="5"/>
    <n v="54407"/>
    <x v="0"/>
  </r>
  <r>
    <s v="EMP0064"/>
    <n v="26"/>
    <x v="1"/>
    <x v="2"/>
    <n v="44080"/>
    <x v="0"/>
  </r>
  <r>
    <s v="EMP0065"/>
    <n v="56"/>
    <x v="1"/>
    <x v="5"/>
    <n v="64324"/>
    <x v="0"/>
  </r>
  <r>
    <s v="EMP0066"/>
    <n v="38"/>
    <x v="0"/>
    <x v="5"/>
    <n v="54938"/>
    <x v="0"/>
  </r>
  <r>
    <s v="EMP0067"/>
    <n v="49"/>
    <x v="0"/>
    <x v="3"/>
    <n v="80463"/>
    <x v="1"/>
  </r>
  <r>
    <s v="EMP0068"/>
    <n v="49"/>
    <x v="0"/>
    <x v="1"/>
    <n v="71602"/>
    <x v="0"/>
  </r>
  <r>
    <s v="EMP0069"/>
    <n v="34"/>
    <x v="1"/>
    <x v="3"/>
    <n v="66533"/>
    <x v="0"/>
  </r>
  <r>
    <s v="EMP0070"/>
    <n v="42"/>
    <x v="0"/>
    <x v="0"/>
    <n v="57057"/>
    <x v="0"/>
  </r>
  <r>
    <s v="EMP0071"/>
    <n v="42"/>
    <x v="1"/>
    <x v="0"/>
    <n v="47974"/>
    <x v="0"/>
  </r>
  <r>
    <s v="EMP0072"/>
    <n v="46"/>
    <x v="0"/>
    <x v="1"/>
    <n v="63677"/>
    <x v="0"/>
  </r>
  <r>
    <s v="EMP0073"/>
    <n v="41"/>
    <x v="1"/>
    <x v="4"/>
    <n v="77323"/>
    <x v="0"/>
  </r>
  <r>
    <s v="EMP0074"/>
    <n v="51"/>
    <x v="1"/>
    <x v="3"/>
    <n v="81485"/>
    <x v="0"/>
  </r>
  <r>
    <s v="EMP0075"/>
    <n v="32"/>
    <x v="0"/>
    <x v="2"/>
    <n v="49640"/>
    <x v="0"/>
  </r>
  <r>
    <s v="EMP0076"/>
    <n v="37"/>
    <x v="1"/>
    <x v="4"/>
    <n v="74228"/>
    <x v="1"/>
  </r>
  <r>
    <s v="EMP0077"/>
    <n v="52"/>
    <x v="0"/>
    <x v="3"/>
    <n v="79254"/>
    <x v="0"/>
  </r>
  <r>
    <s v="EMP0078"/>
    <n v="46"/>
    <x v="1"/>
    <x v="3"/>
    <n v="73776"/>
    <x v="1"/>
  </r>
  <r>
    <s v="EMP0079"/>
    <n v="28"/>
    <x v="1"/>
    <x v="4"/>
    <n v="71591"/>
    <x v="0"/>
  </r>
  <r>
    <s v="EMP0080"/>
    <n v="25"/>
    <x v="0"/>
    <x v="5"/>
    <n v="49296"/>
    <x v="0"/>
  </r>
  <r>
    <s v="EMP0081"/>
    <n v="57"/>
    <x v="1"/>
    <x v="3"/>
    <n v="86475"/>
    <x v="0"/>
  </r>
  <r>
    <s v="EMP0082"/>
    <n v="57"/>
    <x v="1"/>
    <x v="4"/>
    <n v="91811"/>
    <x v="0"/>
  </r>
  <r>
    <s v="EMP0083"/>
    <n v="37"/>
    <x v="1"/>
    <x v="1"/>
    <n v="55548"/>
    <x v="0"/>
  </r>
  <r>
    <s v="EMP0084"/>
    <n v="40"/>
    <x v="0"/>
    <x v="2"/>
    <n v="55366"/>
    <x v="1"/>
  </r>
  <r>
    <s v="EMP0085"/>
    <n v="31"/>
    <x v="0"/>
    <x v="3"/>
    <n v="68374"/>
    <x v="1"/>
  </r>
  <r>
    <s v="EMP0086"/>
    <n v="48"/>
    <x v="1"/>
    <x v="1"/>
    <n v="60955"/>
    <x v="0"/>
  </r>
  <r>
    <s v="EMP0087"/>
    <n v="46"/>
    <x v="0"/>
    <x v="1"/>
    <n v="58211"/>
    <x v="0"/>
  </r>
  <r>
    <s v="EMP0088"/>
    <n v="46"/>
    <x v="1"/>
    <x v="1"/>
    <n v="66939"/>
    <x v="0"/>
  </r>
  <r>
    <s v="EMP0089"/>
    <n v="36"/>
    <x v="1"/>
    <x v="4"/>
    <n v="72395"/>
    <x v="0"/>
  </r>
  <r>
    <s v="EMP0090"/>
    <n v="47"/>
    <x v="0"/>
    <x v="3"/>
    <n v="85340"/>
    <x v="0"/>
  </r>
  <r>
    <s v="EMP0091"/>
    <n v="47"/>
    <x v="0"/>
    <x v="5"/>
    <n v="60119"/>
    <x v="0"/>
  </r>
  <r>
    <s v="EMP0092"/>
    <n v="25"/>
    <x v="1"/>
    <x v="3"/>
    <n v="61328"/>
    <x v="0"/>
  </r>
  <r>
    <s v="EMP0093"/>
    <n v="46"/>
    <x v="1"/>
    <x v="3"/>
    <n v="69282"/>
    <x v="1"/>
  </r>
  <r>
    <s v="EMP0094"/>
    <n v="56"/>
    <x v="0"/>
    <x v="2"/>
    <n v="55960"/>
    <x v="0"/>
  </r>
  <r>
    <s v="EMP0095"/>
    <n v="24"/>
    <x v="0"/>
    <x v="4"/>
    <n v="62162"/>
    <x v="1"/>
  </r>
  <r>
    <s v="EMP0096"/>
    <n v="30"/>
    <x v="1"/>
    <x v="0"/>
    <n v="47239"/>
    <x v="0"/>
  </r>
  <r>
    <s v="EMP0097"/>
    <n v="38"/>
    <x v="1"/>
    <x v="4"/>
    <n v="79957"/>
    <x v="0"/>
  </r>
  <r>
    <s v="EMP0098"/>
    <n v="32"/>
    <x v="1"/>
    <x v="5"/>
    <n v="55324"/>
    <x v="0"/>
  </r>
  <r>
    <s v="EMP0099"/>
    <n v="46"/>
    <x v="1"/>
    <x v="0"/>
    <n v="52716"/>
    <x v="0"/>
  </r>
  <r>
    <s v="EMP0100"/>
    <n v="37"/>
    <x v="0"/>
    <x v="0"/>
    <n v="54595"/>
    <x v="0"/>
  </r>
  <r>
    <s v="EMP0101"/>
    <n v="29"/>
    <x v="0"/>
    <x v="2"/>
    <n v="47956"/>
    <x v="1"/>
  </r>
  <r>
    <s v="EMP0102"/>
    <n v="43"/>
    <x v="0"/>
    <x v="3"/>
    <n v="73878"/>
    <x v="0"/>
  </r>
  <r>
    <s v="EMP0103"/>
    <n v="51"/>
    <x v="0"/>
    <x v="3"/>
    <n v="74327"/>
    <x v="0"/>
  </r>
  <r>
    <s v="EMP0104"/>
    <n v="56"/>
    <x v="1"/>
    <x v="3"/>
    <n v="82852"/>
    <x v="0"/>
  </r>
  <r>
    <s v="EMP0105"/>
    <n v="37"/>
    <x v="0"/>
    <x v="2"/>
    <n v="52563"/>
    <x v="0"/>
  </r>
  <r>
    <s v="EMP0106"/>
    <n v="46"/>
    <x v="1"/>
    <x v="5"/>
    <n v="59131"/>
    <x v="0"/>
  </r>
  <r>
    <s v="EMP0107"/>
    <n v="44"/>
    <x v="1"/>
    <x v="2"/>
    <n v="54645"/>
    <x v="0"/>
  </r>
  <r>
    <s v="EMP0108"/>
    <n v="57"/>
    <x v="0"/>
    <x v="1"/>
    <n v="75275"/>
    <x v="0"/>
  </r>
  <r>
    <s v="EMP0109"/>
    <n v="53"/>
    <x v="0"/>
    <x v="0"/>
    <n v="61474"/>
    <x v="0"/>
  </r>
  <r>
    <s v="EMP0110"/>
    <n v="23"/>
    <x v="0"/>
    <x v="2"/>
    <n v="44045"/>
    <x v="0"/>
  </r>
  <r>
    <s v="EMP0111"/>
    <n v="59"/>
    <x v="1"/>
    <x v="3"/>
    <n v="83789"/>
    <x v="0"/>
  </r>
  <r>
    <s v="EMP0112"/>
    <n v="57"/>
    <x v="1"/>
    <x v="2"/>
    <n v="66467"/>
    <x v="0"/>
  </r>
  <r>
    <s v="EMP0113"/>
    <n v="29"/>
    <x v="0"/>
    <x v="2"/>
    <n v="45505"/>
    <x v="0"/>
  </r>
  <r>
    <s v="EMP0114"/>
    <n v="33"/>
    <x v="0"/>
    <x v="4"/>
    <n v="71674"/>
    <x v="0"/>
  </r>
  <r>
    <s v="EMP0115"/>
    <n v="55"/>
    <x v="1"/>
    <x v="5"/>
    <n v="70308"/>
    <x v="0"/>
  </r>
  <r>
    <s v="EMP0116"/>
    <n v="41"/>
    <x v="0"/>
    <x v="0"/>
    <n v="50868"/>
    <x v="0"/>
  </r>
  <r>
    <s v="EMP0117"/>
    <n v="57"/>
    <x v="1"/>
    <x v="0"/>
    <n v="71624"/>
    <x v="0"/>
  </r>
  <r>
    <s v="EMP0118"/>
    <n v="28"/>
    <x v="0"/>
    <x v="1"/>
    <n v="51082"/>
    <x v="0"/>
  </r>
  <r>
    <s v="EMP0119"/>
    <n v="25"/>
    <x v="1"/>
    <x v="3"/>
    <n v="57893"/>
    <x v="0"/>
  </r>
  <r>
    <s v="EMP0120"/>
    <n v="58"/>
    <x v="0"/>
    <x v="4"/>
    <n v="82588"/>
    <x v="0"/>
  </r>
  <r>
    <s v="EMP0121"/>
    <n v="37"/>
    <x v="0"/>
    <x v="1"/>
    <n v="60583"/>
    <x v="0"/>
  </r>
  <r>
    <s v="EMP0122"/>
    <n v="36"/>
    <x v="1"/>
    <x v="3"/>
    <n v="70338"/>
    <x v="0"/>
  </r>
  <r>
    <s v="EMP0123"/>
    <n v="49"/>
    <x v="1"/>
    <x v="1"/>
    <n v="68060"/>
    <x v="0"/>
  </r>
  <r>
    <s v="EMP0124"/>
    <n v="35"/>
    <x v="0"/>
    <x v="2"/>
    <n v="48749"/>
    <x v="0"/>
  </r>
  <r>
    <s v="EMP0125"/>
    <n v="26"/>
    <x v="0"/>
    <x v="5"/>
    <n v="48932"/>
    <x v="0"/>
  </r>
  <r>
    <s v="EMP0126"/>
    <n v="24"/>
    <x v="0"/>
    <x v="2"/>
    <n v="45130"/>
    <x v="0"/>
  </r>
  <r>
    <s v="EMP0127"/>
    <n v="36"/>
    <x v="1"/>
    <x v="0"/>
    <n v="52159"/>
    <x v="0"/>
  </r>
  <r>
    <s v="EMP0128"/>
    <n v="29"/>
    <x v="0"/>
    <x v="0"/>
    <n v="41446"/>
    <x v="1"/>
  </r>
  <r>
    <s v="EMP0129"/>
    <n v="25"/>
    <x v="0"/>
    <x v="2"/>
    <n v="46686"/>
    <x v="0"/>
  </r>
  <r>
    <s v="EMP0130"/>
    <n v="50"/>
    <x v="0"/>
    <x v="3"/>
    <n v="82439"/>
    <x v="0"/>
  </r>
  <r>
    <s v="EMP0131"/>
    <n v="54"/>
    <x v="1"/>
    <x v="3"/>
    <n v="70405"/>
    <x v="0"/>
  </r>
  <r>
    <s v="EMP0132"/>
    <n v="42"/>
    <x v="1"/>
    <x v="5"/>
    <n v="57608"/>
    <x v="0"/>
  </r>
  <r>
    <s v="EMP0133"/>
    <n v="58"/>
    <x v="0"/>
    <x v="0"/>
    <n v="69795"/>
    <x v="0"/>
  </r>
  <r>
    <s v="EMP0134"/>
    <n v="33"/>
    <x v="1"/>
    <x v="1"/>
    <n v="59311"/>
    <x v="0"/>
  </r>
  <r>
    <s v="EMP0135"/>
    <n v="59"/>
    <x v="1"/>
    <x v="0"/>
    <n v="73615"/>
    <x v="0"/>
  </r>
  <r>
    <s v="EMP0136"/>
    <n v="48"/>
    <x v="1"/>
    <x v="2"/>
    <n v="63973"/>
    <x v="0"/>
  </r>
  <r>
    <s v="EMP0137"/>
    <n v="53"/>
    <x v="1"/>
    <x v="0"/>
    <n v="69559"/>
    <x v="0"/>
  </r>
  <r>
    <s v="EMP0138"/>
    <n v="51"/>
    <x v="0"/>
    <x v="2"/>
    <n v="54187"/>
    <x v="0"/>
  </r>
  <r>
    <s v="EMP0139"/>
    <n v="54"/>
    <x v="0"/>
    <x v="0"/>
    <n v="66405"/>
    <x v="1"/>
  </r>
  <r>
    <s v="EMP0140"/>
    <n v="55"/>
    <x v="1"/>
    <x v="1"/>
    <n v="74684"/>
    <x v="0"/>
  </r>
  <r>
    <s v="EMP0141"/>
    <n v="35"/>
    <x v="1"/>
    <x v="1"/>
    <n v="52355"/>
    <x v="0"/>
  </r>
  <r>
    <s v="EMP0142"/>
    <n v="53"/>
    <x v="0"/>
    <x v="5"/>
    <n v="73354"/>
    <x v="0"/>
  </r>
  <r>
    <s v="EMP0143"/>
    <n v="32"/>
    <x v="1"/>
    <x v="1"/>
    <n v="51332"/>
    <x v="0"/>
  </r>
  <r>
    <s v="EMP0144"/>
    <n v="29"/>
    <x v="1"/>
    <x v="5"/>
    <n v="47298"/>
    <x v="0"/>
  </r>
  <r>
    <s v="EMP0145"/>
    <n v="40"/>
    <x v="1"/>
    <x v="3"/>
    <n v="78554"/>
    <x v="0"/>
  </r>
  <r>
    <s v="EMP0146"/>
    <n v="57"/>
    <x v="0"/>
    <x v="3"/>
    <n v="78130"/>
    <x v="0"/>
  </r>
  <r>
    <s v="EMP0147"/>
    <n v="30"/>
    <x v="0"/>
    <x v="2"/>
    <n v="51125"/>
    <x v="0"/>
  </r>
  <r>
    <s v="EMP0148"/>
    <n v="54"/>
    <x v="1"/>
    <x v="5"/>
    <n v="60713"/>
    <x v="0"/>
  </r>
  <r>
    <s v="EMP0149"/>
    <n v="53"/>
    <x v="0"/>
    <x v="3"/>
    <n v="79508"/>
    <x v="0"/>
  </r>
  <r>
    <s v="EMP0150"/>
    <n v="56"/>
    <x v="1"/>
    <x v="3"/>
    <n v="92415"/>
    <x v="0"/>
  </r>
  <r>
    <s v="EMP0151"/>
    <n v="37"/>
    <x v="1"/>
    <x v="4"/>
    <n v="76706"/>
    <x v="0"/>
  </r>
  <r>
    <s v="EMP0152"/>
    <n v="52"/>
    <x v="1"/>
    <x v="3"/>
    <n v="89165"/>
    <x v="0"/>
  </r>
  <r>
    <s v="EMP0153"/>
    <n v="31"/>
    <x v="1"/>
    <x v="5"/>
    <n v="52890"/>
    <x v="0"/>
  </r>
  <r>
    <s v="EMP0154"/>
    <n v="28"/>
    <x v="1"/>
    <x v="5"/>
    <n v="48633"/>
    <x v="0"/>
  </r>
  <r>
    <s v="EMP0155"/>
    <n v="48"/>
    <x v="0"/>
    <x v="5"/>
    <n v="65257"/>
    <x v="0"/>
  </r>
  <r>
    <s v="EMP0156"/>
    <n v="47"/>
    <x v="0"/>
    <x v="2"/>
    <n v="65529"/>
    <x v="0"/>
  </r>
  <r>
    <s v="EMP0157"/>
    <n v="42"/>
    <x v="1"/>
    <x v="1"/>
    <n v="52906"/>
    <x v="0"/>
  </r>
  <r>
    <s v="EMP0158"/>
    <n v="40"/>
    <x v="0"/>
    <x v="0"/>
    <n v="51840"/>
    <x v="0"/>
  </r>
  <r>
    <s v="EMP0159"/>
    <n v="28"/>
    <x v="1"/>
    <x v="4"/>
    <n v="72709"/>
    <x v="1"/>
  </r>
  <r>
    <s v="EMP0160"/>
    <n v="25"/>
    <x v="1"/>
    <x v="2"/>
    <n v="40926"/>
    <x v="0"/>
  </r>
  <r>
    <s v="EMP0161"/>
    <n v="58"/>
    <x v="0"/>
    <x v="4"/>
    <n v="83427"/>
    <x v="0"/>
  </r>
  <r>
    <s v="EMP0162"/>
    <n v="37"/>
    <x v="1"/>
    <x v="1"/>
    <n v="54762"/>
    <x v="0"/>
  </r>
  <r>
    <s v="EMP0163"/>
    <n v="38"/>
    <x v="0"/>
    <x v="3"/>
    <n v="75030"/>
    <x v="0"/>
  </r>
  <r>
    <s v="EMP0164"/>
    <n v="50"/>
    <x v="1"/>
    <x v="1"/>
    <n v="67084"/>
    <x v="0"/>
  </r>
  <r>
    <s v="EMP0165"/>
    <n v="51"/>
    <x v="1"/>
    <x v="4"/>
    <n v="93917"/>
    <x v="1"/>
  </r>
  <r>
    <s v="EMP0166"/>
    <n v="46"/>
    <x v="1"/>
    <x v="1"/>
    <n v="62744"/>
    <x v="1"/>
  </r>
  <r>
    <s v="EMP0167"/>
    <n v="47"/>
    <x v="1"/>
    <x v="5"/>
    <n v="63560"/>
    <x v="0"/>
  </r>
  <r>
    <s v="EMP0168"/>
    <n v="25"/>
    <x v="1"/>
    <x v="2"/>
    <n v="42204"/>
    <x v="0"/>
  </r>
  <r>
    <s v="EMP0169"/>
    <n v="36"/>
    <x v="0"/>
    <x v="1"/>
    <n v="57399"/>
    <x v="0"/>
  </r>
  <r>
    <s v="EMP0170"/>
    <n v="30"/>
    <x v="0"/>
    <x v="0"/>
    <n v="44256"/>
    <x v="0"/>
  </r>
  <r>
    <s v="EMP0171"/>
    <n v="59"/>
    <x v="1"/>
    <x v="0"/>
    <n v="60508"/>
    <x v="0"/>
  </r>
  <r>
    <s v="EMP0172"/>
    <n v="48"/>
    <x v="0"/>
    <x v="4"/>
    <n v="77433"/>
    <x v="0"/>
  </r>
  <r>
    <s v="EMP0173"/>
    <n v="55"/>
    <x v="1"/>
    <x v="4"/>
    <n v="85037"/>
    <x v="0"/>
  </r>
  <r>
    <s v="EMP0174"/>
    <n v="40"/>
    <x v="1"/>
    <x v="5"/>
    <n v="53017"/>
    <x v="0"/>
  </r>
  <r>
    <s v="EMP0175"/>
    <n v="36"/>
    <x v="1"/>
    <x v="1"/>
    <n v="58485"/>
    <x v="1"/>
  </r>
  <r>
    <s v="EMP0176"/>
    <n v="56"/>
    <x v="0"/>
    <x v="3"/>
    <n v="81858"/>
    <x v="0"/>
  </r>
  <r>
    <s v="EMP0177"/>
    <n v="46"/>
    <x v="1"/>
    <x v="5"/>
    <n v="62469"/>
    <x v="0"/>
  </r>
  <r>
    <s v="EMP0178"/>
    <n v="57"/>
    <x v="1"/>
    <x v="1"/>
    <n v="62379"/>
    <x v="0"/>
  </r>
  <r>
    <s v="EMP0179"/>
    <n v="41"/>
    <x v="1"/>
    <x v="5"/>
    <n v="57497"/>
    <x v="0"/>
  </r>
  <r>
    <s v="EMP0180"/>
    <n v="53"/>
    <x v="0"/>
    <x v="5"/>
    <n v="61339"/>
    <x v="0"/>
  </r>
  <r>
    <s v="EMP0181"/>
    <n v="45"/>
    <x v="1"/>
    <x v="1"/>
    <n v="62972"/>
    <x v="0"/>
  </r>
  <r>
    <s v="EMP0182"/>
    <n v="28"/>
    <x v="1"/>
    <x v="1"/>
    <n v="55236"/>
    <x v="1"/>
  </r>
  <r>
    <s v="EMP0183"/>
    <n v="45"/>
    <x v="0"/>
    <x v="3"/>
    <n v="72202"/>
    <x v="0"/>
  </r>
  <r>
    <s v="EMP0184"/>
    <n v="45"/>
    <x v="1"/>
    <x v="5"/>
    <n v="56297"/>
    <x v="0"/>
  </r>
  <r>
    <s v="EMP0185"/>
    <n v="51"/>
    <x v="0"/>
    <x v="0"/>
    <n v="55791"/>
    <x v="0"/>
  </r>
  <r>
    <s v="EMP0186"/>
    <n v="25"/>
    <x v="1"/>
    <x v="4"/>
    <n v="69979"/>
    <x v="1"/>
  </r>
  <r>
    <s v="EMP0187"/>
    <n v="57"/>
    <x v="0"/>
    <x v="1"/>
    <n v="68736"/>
    <x v="0"/>
  </r>
  <r>
    <s v="EMP0188"/>
    <n v="31"/>
    <x v="0"/>
    <x v="2"/>
    <n v="46620"/>
    <x v="0"/>
  </r>
  <r>
    <s v="EMP0189"/>
    <n v="38"/>
    <x v="0"/>
    <x v="5"/>
    <n v="52894"/>
    <x v="1"/>
  </r>
  <r>
    <s v="EMP0190"/>
    <n v="37"/>
    <x v="1"/>
    <x v="5"/>
    <n v="48726"/>
    <x v="0"/>
  </r>
  <r>
    <s v="EMP0191"/>
    <n v="55"/>
    <x v="0"/>
    <x v="0"/>
    <n v="53834"/>
    <x v="0"/>
  </r>
  <r>
    <s v="EMP0192"/>
    <n v="59"/>
    <x v="0"/>
    <x v="3"/>
    <n v="87684"/>
    <x v="1"/>
  </r>
  <r>
    <s v="EMP0193"/>
    <n v="55"/>
    <x v="1"/>
    <x v="3"/>
    <n v="80064"/>
    <x v="0"/>
  </r>
  <r>
    <s v="EMP0194"/>
    <n v="47"/>
    <x v="1"/>
    <x v="0"/>
    <n v="53048"/>
    <x v="0"/>
  </r>
  <r>
    <s v="EMP0195"/>
    <n v="27"/>
    <x v="1"/>
    <x v="1"/>
    <n v="47380"/>
    <x v="0"/>
  </r>
  <r>
    <s v="EMP0196"/>
    <n v="59"/>
    <x v="1"/>
    <x v="3"/>
    <n v="93445"/>
    <x v="0"/>
  </r>
  <r>
    <s v="EMP0197"/>
    <n v="60"/>
    <x v="1"/>
    <x v="5"/>
    <n v="72184"/>
    <x v="0"/>
  </r>
  <r>
    <s v="EMP0198"/>
    <n v="57"/>
    <x v="0"/>
    <x v="3"/>
    <n v="79730"/>
    <x v="0"/>
  </r>
  <r>
    <s v="EMP0199"/>
    <n v="51"/>
    <x v="1"/>
    <x v="3"/>
    <n v="80679"/>
    <x v="0"/>
  </r>
  <r>
    <s v="EMP0200"/>
    <n v="38"/>
    <x v="1"/>
    <x v="4"/>
    <n v="76688"/>
    <x v="1"/>
  </r>
  <r>
    <s v="EMP0201"/>
    <n v="27"/>
    <x v="0"/>
    <x v="3"/>
    <n v="64151"/>
    <x v="0"/>
  </r>
  <r>
    <s v="EMP0202"/>
    <n v="57"/>
    <x v="0"/>
    <x v="1"/>
    <n v="79234"/>
    <x v="0"/>
  </r>
  <r>
    <s v="EMP0203"/>
    <n v="48"/>
    <x v="1"/>
    <x v="0"/>
    <n v="62018"/>
    <x v="0"/>
  </r>
  <r>
    <s v="EMP0204"/>
    <n v="25"/>
    <x v="1"/>
    <x v="1"/>
    <n v="46497"/>
    <x v="0"/>
  </r>
  <r>
    <s v="EMP0205"/>
    <n v="31"/>
    <x v="1"/>
    <x v="4"/>
    <n v="71213"/>
    <x v="0"/>
  </r>
  <r>
    <s v="EMP0206"/>
    <n v="29"/>
    <x v="1"/>
    <x v="1"/>
    <n v="51024"/>
    <x v="0"/>
  </r>
  <r>
    <s v="EMP0207"/>
    <n v="57"/>
    <x v="0"/>
    <x v="1"/>
    <n v="80894"/>
    <x v="0"/>
  </r>
  <r>
    <s v="EMP0208"/>
    <n v="33"/>
    <x v="1"/>
    <x v="0"/>
    <n v="51965"/>
    <x v="0"/>
  </r>
  <r>
    <s v="EMP0209"/>
    <n v="33"/>
    <x v="0"/>
    <x v="1"/>
    <n v="52572"/>
    <x v="0"/>
  </r>
  <r>
    <s v="EMP0210"/>
    <n v="23"/>
    <x v="0"/>
    <x v="0"/>
    <n v="39674"/>
    <x v="0"/>
  </r>
  <r>
    <s v="EMP0211"/>
    <n v="32"/>
    <x v="1"/>
    <x v="2"/>
    <n v="51822"/>
    <x v="0"/>
  </r>
  <r>
    <s v="EMP0212"/>
    <n v="27"/>
    <x v="0"/>
    <x v="4"/>
    <n v="68336"/>
    <x v="0"/>
  </r>
  <r>
    <s v="EMP0213"/>
    <n v="39"/>
    <x v="1"/>
    <x v="0"/>
    <n v="51260"/>
    <x v="0"/>
  </r>
  <r>
    <s v="EMP0214"/>
    <n v="35"/>
    <x v="0"/>
    <x v="2"/>
    <n v="48260"/>
    <x v="0"/>
  </r>
  <r>
    <s v="EMP0215"/>
    <n v="53"/>
    <x v="1"/>
    <x v="5"/>
    <n v="64693"/>
    <x v="1"/>
  </r>
  <r>
    <s v="EMP0216"/>
    <n v="35"/>
    <x v="1"/>
    <x v="4"/>
    <n v="77301"/>
    <x v="0"/>
  </r>
  <r>
    <s v="EMP0217"/>
    <n v="29"/>
    <x v="0"/>
    <x v="3"/>
    <n v="62820"/>
    <x v="0"/>
  </r>
  <r>
    <s v="EMP0218"/>
    <n v="36"/>
    <x v="1"/>
    <x v="5"/>
    <n v="55315"/>
    <x v="0"/>
  </r>
  <r>
    <s v="EMP0219"/>
    <n v="51"/>
    <x v="0"/>
    <x v="2"/>
    <n v="62535"/>
    <x v="0"/>
  </r>
  <r>
    <s v="EMP0220"/>
    <n v="48"/>
    <x v="1"/>
    <x v="5"/>
    <n v="64395"/>
    <x v="0"/>
  </r>
  <r>
    <s v="EMP0221"/>
    <n v="51"/>
    <x v="1"/>
    <x v="5"/>
    <n v="59779"/>
    <x v="0"/>
  </r>
  <r>
    <s v="EMP0222"/>
    <n v="47"/>
    <x v="0"/>
    <x v="3"/>
    <n v="82847"/>
    <x v="0"/>
  </r>
  <r>
    <s v="EMP0223"/>
    <n v="32"/>
    <x v="0"/>
    <x v="1"/>
    <n v="55410"/>
    <x v="0"/>
  </r>
  <r>
    <s v="EMP0224"/>
    <n v="44"/>
    <x v="1"/>
    <x v="0"/>
    <n v="60504"/>
    <x v="0"/>
  </r>
  <r>
    <s v="EMP0225"/>
    <n v="28"/>
    <x v="0"/>
    <x v="2"/>
    <n v="45811"/>
    <x v="0"/>
  </r>
  <r>
    <s v="EMP0226"/>
    <n v="26"/>
    <x v="0"/>
    <x v="0"/>
    <n v="44623"/>
    <x v="0"/>
  </r>
  <r>
    <s v="EMP0227"/>
    <n v="50"/>
    <x v="1"/>
    <x v="0"/>
    <n v="55144"/>
    <x v="0"/>
  </r>
  <r>
    <s v="EMP0228"/>
    <n v="41"/>
    <x v="1"/>
    <x v="1"/>
    <n v="56192"/>
    <x v="0"/>
  </r>
  <r>
    <s v="EMP0229"/>
    <n v="50"/>
    <x v="0"/>
    <x v="5"/>
    <n v="59658"/>
    <x v="0"/>
  </r>
  <r>
    <s v="EMP0230"/>
    <n v="27"/>
    <x v="1"/>
    <x v="3"/>
    <n v="67084"/>
    <x v="0"/>
  </r>
  <r>
    <s v="EMP0231"/>
    <n v="24"/>
    <x v="1"/>
    <x v="1"/>
    <n v="48024"/>
    <x v="0"/>
  </r>
  <r>
    <s v="EMP0232"/>
    <n v="31"/>
    <x v="0"/>
    <x v="3"/>
    <n v="67258"/>
    <x v="0"/>
  </r>
  <r>
    <s v="EMP0233"/>
    <n v="27"/>
    <x v="0"/>
    <x v="5"/>
    <n v="47121"/>
    <x v="0"/>
  </r>
  <r>
    <s v="EMP0234"/>
    <n v="55"/>
    <x v="0"/>
    <x v="2"/>
    <n v="59615"/>
    <x v="0"/>
  </r>
  <r>
    <s v="EMP0235"/>
    <n v="43"/>
    <x v="0"/>
    <x v="0"/>
    <n v="51724"/>
    <x v="1"/>
  </r>
  <r>
    <s v="EMP0236"/>
    <n v="46"/>
    <x v="1"/>
    <x v="2"/>
    <n v="61537"/>
    <x v="0"/>
  </r>
  <r>
    <s v="EMP0237"/>
    <n v="31"/>
    <x v="1"/>
    <x v="5"/>
    <n v="48353"/>
    <x v="0"/>
  </r>
  <r>
    <s v="EMP0238"/>
    <n v="47"/>
    <x v="0"/>
    <x v="1"/>
    <n v="63538"/>
    <x v="0"/>
  </r>
  <r>
    <s v="EMP0239"/>
    <n v="43"/>
    <x v="0"/>
    <x v="0"/>
    <n v="59356"/>
    <x v="0"/>
  </r>
  <r>
    <s v="EMP0240"/>
    <n v="55"/>
    <x v="0"/>
    <x v="0"/>
    <n v="64330"/>
    <x v="1"/>
  </r>
  <r>
    <s v="EMP0241"/>
    <n v="41"/>
    <x v="0"/>
    <x v="4"/>
    <n v="77975"/>
    <x v="0"/>
  </r>
  <r>
    <s v="EMP0242"/>
    <n v="30"/>
    <x v="0"/>
    <x v="5"/>
    <n v="51688"/>
    <x v="0"/>
  </r>
  <r>
    <s v="EMP0243"/>
    <n v="56"/>
    <x v="0"/>
    <x v="0"/>
    <n v="61455"/>
    <x v="0"/>
  </r>
  <r>
    <s v="EMP0244"/>
    <n v="46"/>
    <x v="0"/>
    <x v="4"/>
    <n v="78312"/>
    <x v="0"/>
  </r>
  <r>
    <s v="EMP0245"/>
    <n v="32"/>
    <x v="1"/>
    <x v="5"/>
    <n v="52465"/>
    <x v="0"/>
  </r>
  <r>
    <s v="EMP0246"/>
    <n v="50"/>
    <x v="1"/>
    <x v="0"/>
    <n v="60045"/>
    <x v="0"/>
  </r>
  <r>
    <s v="EMP0247"/>
    <n v="52"/>
    <x v="0"/>
    <x v="2"/>
    <n v="64737"/>
    <x v="0"/>
  </r>
  <r>
    <s v="EMP0248"/>
    <n v="40"/>
    <x v="1"/>
    <x v="1"/>
    <n v="63677"/>
    <x v="0"/>
  </r>
  <r>
    <s v="EMP0249"/>
    <n v="60"/>
    <x v="0"/>
    <x v="2"/>
    <n v="58036"/>
    <x v="0"/>
  </r>
  <r>
    <s v="EMP0250"/>
    <n v="28"/>
    <x v="0"/>
    <x v="2"/>
    <n v="4193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EMP0001"/>
    <x v="0"/>
    <s v="Male"/>
    <x v="0"/>
    <n v="41548"/>
    <s v="No"/>
    <x v="0"/>
  </r>
  <r>
    <s v="EMP0002"/>
    <x v="1"/>
    <s v="Male"/>
    <x v="1"/>
    <n v="65011"/>
    <s v="No"/>
    <x v="1"/>
  </r>
  <r>
    <s v="EMP0003"/>
    <x v="2"/>
    <s v="Male"/>
    <x v="1"/>
    <n v="65180"/>
    <s v="No"/>
    <x v="2"/>
  </r>
  <r>
    <s v="EMP0004"/>
    <x v="3"/>
    <s v="Female"/>
    <x v="1"/>
    <n v="58501"/>
    <s v="No"/>
    <x v="3"/>
  </r>
  <r>
    <s v="EMP0005"/>
    <x v="4"/>
    <s v="Female"/>
    <x v="2"/>
    <n v="45111"/>
    <s v="No"/>
    <x v="0"/>
  </r>
  <r>
    <s v="EMP0006"/>
    <x v="5"/>
    <s v="Male"/>
    <x v="3"/>
    <n v="65470"/>
    <s v="No"/>
    <x v="0"/>
  </r>
  <r>
    <s v="EMP0007"/>
    <x v="6"/>
    <s v="Female"/>
    <x v="1"/>
    <n v="52303"/>
    <s v="Yes"/>
    <x v="4"/>
  </r>
  <r>
    <s v="EMP0008"/>
    <x v="7"/>
    <s v="Female"/>
    <x v="1"/>
    <n v="53487"/>
    <s v="No"/>
    <x v="3"/>
  </r>
  <r>
    <s v="EMP0009"/>
    <x v="7"/>
    <s v="Male"/>
    <x v="4"/>
    <n v="79039"/>
    <s v="No"/>
    <x v="3"/>
  </r>
  <r>
    <s v="EMP0010"/>
    <x v="8"/>
    <s v="Male"/>
    <x v="2"/>
    <n v="56647"/>
    <s v="No"/>
    <x v="2"/>
  </r>
  <r>
    <s v="EMP0011"/>
    <x v="9"/>
    <s v="Male"/>
    <x v="1"/>
    <n v="48365"/>
    <s v="No"/>
    <x v="0"/>
  </r>
  <r>
    <s v="EMP0012"/>
    <x v="10"/>
    <s v="Male"/>
    <x v="0"/>
    <n v="61821"/>
    <s v="Yes"/>
    <x v="1"/>
  </r>
  <r>
    <s v="EMP0013"/>
    <x v="6"/>
    <s v="Female"/>
    <x v="3"/>
    <n v="58755"/>
    <s v="No"/>
    <x v="4"/>
  </r>
  <r>
    <s v="EMP0014"/>
    <x v="11"/>
    <s v="Male"/>
    <x v="0"/>
    <n v="56069"/>
    <s v="No"/>
    <x v="3"/>
  </r>
  <r>
    <s v="EMP0015"/>
    <x v="12"/>
    <s v="Female"/>
    <x v="4"/>
    <n v="70200"/>
    <s v="No"/>
    <x v="0"/>
  </r>
  <r>
    <s v="EMP0016"/>
    <x v="13"/>
    <s v="Female"/>
    <x v="1"/>
    <n v="67943"/>
    <s v="No"/>
    <x v="1"/>
  </r>
  <r>
    <s v="EMP0017"/>
    <x v="2"/>
    <s v="Female"/>
    <x v="5"/>
    <n v="72781"/>
    <s v="No"/>
    <x v="2"/>
  </r>
  <r>
    <s v="EMP0018"/>
    <x v="4"/>
    <s v="Female"/>
    <x v="1"/>
    <n v="51370"/>
    <s v="No"/>
    <x v="0"/>
  </r>
  <r>
    <s v="EMP0019"/>
    <x v="14"/>
    <s v="Female"/>
    <x v="1"/>
    <n v="71494"/>
    <s v="No"/>
    <x v="1"/>
  </r>
  <r>
    <s v="EMP0020"/>
    <x v="1"/>
    <s v="Female"/>
    <x v="0"/>
    <n v="57730"/>
    <s v="No"/>
    <x v="1"/>
  </r>
  <r>
    <s v="EMP0021"/>
    <x v="15"/>
    <s v="Female"/>
    <x v="1"/>
    <n v="48061"/>
    <s v="Yes"/>
    <x v="4"/>
  </r>
  <r>
    <s v="EMP0022"/>
    <x v="16"/>
    <s v="Male"/>
    <x v="4"/>
    <n v="73444"/>
    <s v="No"/>
    <x v="3"/>
  </r>
  <r>
    <s v="EMP0023"/>
    <x v="14"/>
    <s v="Male"/>
    <x v="1"/>
    <n v="62704"/>
    <s v="No"/>
    <x v="1"/>
  </r>
  <r>
    <s v="EMP0024"/>
    <x v="16"/>
    <s v="Male"/>
    <x v="5"/>
    <n v="55427"/>
    <s v="Yes"/>
    <x v="3"/>
  </r>
  <r>
    <s v="EMP0025"/>
    <x v="17"/>
    <s v="Male"/>
    <x v="1"/>
    <n v="69297"/>
    <s v="No"/>
    <x v="2"/>
  </r>
  <r>
    <s v="EMP0026"/>
    <x v="10"/>
    <s v="Male"/>
    <x v="2"/>
    <n v="66087"/>
    <s v="No"/>
    <x v="1"/>
  </r>
  <r>
    <s v="EMP0027"/>
    <x v="1"/>
    <s v="Male"/>
    <x v="0"/>
    <n v="62860"/>
    <s v="No"/>
    <x v="1"/>
  </r>
  <r>
    <s v="EMP0028"/>
    <x v="18"/>
    <s v="Female"/>
    <x v="5"/>
    <n v="56182"/>
    <s v="Yes"/>
    <x v="2"/>
  </r>
  <r>
    <s v="EMP0029"/>
    <x v="10"/>
    <s v="Male"/>
    <x v="1"/>
    <n v="62421"/>
    <s v="No"/>
    <x v="1"/>
  </r>
  <r>
    <s v="EMP0030"/>
    <x v="3"/>
    <s v="Male"/>
    <x v="5"/>
    <n v="53184"/>
    <s v="No"/>
    <x v="3"/>
  </r>
  <r>
    <s v="EMP0031"/>
    <x v="17"/>
    <s v="Male"/>
    <x v="1"/>
    <n v="65934"/>
    <s v="No"/>
    <x v="2"/>
  </r>
  <r>
    <s v="EMP0032"/>
    <x v="19"/>
    <s v="Male"/>
    <x v="3"/>
    <n v="81635"/>
    <s v="Yes"/>
    <x v="2"/>
  </r>
  <r>
    <s v="EMP0033"/>
    <x v="20"/>
    <s v="Female"/>
    <x v="3"/>
    <n v="79260"/>
    <s v="Yes"/>
    <x v="2"/>
  </r>
  <r>
    <s v="EMP0034"/>
    <x v="5"/>
    <s v="Male"/>
    <x v="3"/>
    <n v="66989"/>
    <s v="Yes"/>
    <x v="0"/>
  </r>
  <r>
    <s v="EMP0035"/>
    <x v="21"/>
    <s v="Male"/>
    <x v="1"/>
    <n v="54866"/>
    <s v="No"/>
    <x v="0"/>
  </r>
  <r>
    <s v="EMP0036"/>
    <x v="22"/>
    <s v="Male"/>
    <x v="3"/>
    <n v="74907"/>
    <s v="Yes"/>
    <x v="3"/>
  </r>
  <r>
    <s v="EMP0037"/>
    <x v="1"/>
    <s v="Male"/>
    <x v="5"/>
    <n v="77137"/>
    <s v="No"/>
    <x v="1"/>
  </r>
  <r>
    <s v="EMP0038"/>
    <x v="17"/>
    <s v="Female"/>
    <x v="4"/>
    <n v="94021"/>
    <s v="No"/>
    <x v="2"/>
  </r>
  <r>
    <s v="EMP0039"/>
    <x v="15"/>
    <s v="Female"/>
    <x v="2"/>
    <n v="44281"/>
    <s v="No"/>
    <x v="4"/>
  </r>
  <r>
    <s v="EMP0040"/>
    <x v="10"/>
    <s v="Female"/>
    <x v="4"/>
    <n v="80064"/>
    <s v="Yes"/>
    <x v="1"/>
  </r>
  <r>
    <s v="EMP0041"/>
    <x v="1"/>
    <s v="Male"/>
    <x v="0"/>
    <n v="55332"/>
    <s v="No"/>
    <x v="1"/>
  </r>
  <r>
    <s v="EMP0042"/>
    <x v="14"/>
    <s v="Male"/>
    <x v="5"/>
    <n v="70693"/>
    <s v="No"/>
    <x v="1"/>
  </r>
  <r>
    <s v="EMP0043"/>
    <x v="23"/>
    <s v="Male"/>
    <x v="0"/>
    <n v="70804"/>
    <s v="No"/>
    <x v="1"/>
  </r>
  <r>
    <s v="EMP0044"/>
    <x v="24"/>
    <s v="Male"/>
    <x v="1"/>
    <n v="74056"/>
    <s v="No"/>
    <x v="1"/>
  </r>
  <r>
    <s v="EMP0045"/>
    <x v="13"/>
    <s v="Female"/>
    <x v="2"/>
    <n v="62308"/>
    <s v="No"/>
    <x v="1"/>
  </r>
  <r>
    <s v="EMP0046"/>
    <x v="25"/>
    <s v="Male"/>
    <x v="0"/>
    <n v="57726"/>
    <s v="No"/>
    <x v="2"/>
  </r>
  <r>
    <s v="EMP0047"/>
    <x v="9"/>
    <s v="Male"/>
    <x v="3"/>
    <n v="63346"/>
    <s v="Yes"/>
    <x v="0"/>
  </r>
  <r>
    <s v="EMP0048"/>
    <x v="1"/>
    <s v="Male"/>
    <x v="1"/>
    <n v="69574"/>
    <s v="No"/>
    <x v="1"/>
  </r>
  <r>
    <s v="EMP0049"/>
    <x v="22"/>
    <s v="Female"/>
    <x v="2"/>
    <n v="51853"/>
    <s v="No"/>
    <x v="3"/>
  </r>
  <r>
    <s v="EMP0050"/>
    <x v="14"/>
    <s v="Male"/>
    <x v="0"/>
    <n v="65077"/>
    <s v="No"/>
    <x v="1"/>
  </r>
  <r>
    <s v="EMP0051"/>
    <x v="26"/>
    <s v="Female"/>
    <x v="5"/>
    <n v="53698"/>
    <s v="No"/>
    <x v="0"/>
  </r>
  <r>
    <s v="EMP0052"/>
    <x v="7"/>
    <s v="Male"/>
    <x v="0"/>
    <n v="51785"/>
    <s v="No"/>
    <x v="3"/>
  </r>
  <r>
    <s v="EMP0053"/>
    <x v="2"/>
    <s v="Female"/>
    <x v="2"/>
    <n v="72054"/>
    <s v="Yes"/>
    <x v="2"/>
  </r>
  <r>
    <s v="EMP0054"/>
    <x v="20"/>
    <s v="Female"/>
    <x v="5"/>
    <n v="58016"/>
    <s v="No"/>
    <x v="2"/>
  </r>
  <r>
    <s v="EMP0055"/>
    <x v="27"/>
    <s v="Male"/>
    <x v="0"/>
    <n v="51580"/>
    <s v="No"/>
    <x v="3"/>
  </r>
  <r>
    <s v="EMP0056"/>
    <x v="0"/>
    <s v="Male"/>
    <x v="0"/>
    <n v="46328"/>
    <s v="No"/>
    <x v="0"/>
  </r>
  <r>
    <s v="EMP0057"/>
    <x v="13"/>
    <s v="Male"/>
    <x v="3"/>
    <n v="75623"/>
    <s v="No"/>
    <x v="1"/>
  </r>
  <r>
    <s v="EMP0058"/>
    <x v="6"/>
    <s v="Female"/>
    <x v="4"/>
    <n v="67817"/>
    <s v="No"/>
    <x v="4"/>
  </r>
  <r>
    <s v="EMP0059"/>
    <x v="10"/>
    <s v="Female"/>
    <x v="1"/>
    <n v="78521"/>
    <s v="No"/>
    <x v="1"/>
  </r>
  <r>
    <s v="EMP0060"/>
    <x v="4"/>
    <s v="Male"/>
    <x v="3"/>
    <n v="66016"/>
    <s v="No"/>
    <x v="0"/>
  </r>
  <r>
    <s v="EMP0061"/>
    <x v="28"/>
    <s v="Male"/>
    <x v="2"/>
    <n v="56079"/>
    <s v="No"/>
    <x v="2"/>
  </r>
  <r>
    <s v="EMP0062"/>
    <x v="6"/>
    <s v="Female"/>
    <x v="4"/>
    <n v="69347"/>
    <s v="No"/>
    <x v="4"/>
  </r>
  <r>
    <s v="EMP0063"/>
    <x v="3"/>
    <s v="Male"/>
    <x v="5"/>
    <n v="54407"/>
    <s v="No"/>
    <x v="3"/>
  </r>
  <r>
    <s v="EMP0064"/>
    <x v="9"/>
    <s v="Female"/>
    <x v="2"/>
    <n v="44080"/>
    <s v="No"/>
    <x v="0"/>
  </r>
  <r>
    <s v="EMP0065"/>
    <x v="1"/>
    <s v="Female"/>
    <x v="5"/>
    <n v="64324"/>
    <s v="No"/>
    <x v="1"/>
  </r>
  <r>
    <s v="EMP0066"/>
    <x v="27"/>
    <s v="Male"/>
    <x v="5"/>
    <n v="54938"/>
    <s v="No"/>
    <x v="3"/>
  </r>
  <r>
    <s v="EMP0067"/>
    <x v="20"/>
    <s v="Male"/>
    <x v="3"/>
    <n v="80463"/>
    <s v="Yes"/>
    <x v="2"/>
  </r>
  <r>
    <s v="EMP0068"/>
    <x v="20"/>
    <s v="Male"/>
    <x v="1"/>
    <n v="71602"/>
    <s v="No"/>
    <x v="2"/>
  </r>
  <r>
    <s v="EMP0069"/>
    <x v="21"/>
    <s v="Female"/>
    <x v="3"/>
    <n v="66533"/>
    <s v="No"/>
    <x v="0"/>
  </r>
  <r>
    <s v="EMP0070"/>
    <x v="11"/>
    <s v="Male"/>
    <x v="0"/>
    <n v="57057"/>
    <s v="No"/>
    <x v="3"/>
  </r>
  <r>
    <s v="EMP0071"/>
    <x v="11"/>
    <s v="Female"/>
    <x v="0"/>
    <n v="47974"/>
    <s v="No"/>
    <x v="3"/>
  </r>
  <r>
    <s v="EMP0072"/>
    <x v="29"/>
    <s v="Male"/>
    <x v="1"/>
    <n v="63677"/>
    <s v="No"/>
    <x v="2"/>
  </r>
  <r>
    <s v="EMP0073"/>
    <x v="16"/>
    <s v="Female"/>
    <x v="4"/>
    <n v="77323"/>
    <s v="No"/>
    <x v="3"/>
  </r>
  <r>
    <s v="EMP0074"/>
    <x v="30"/>
    <s v="Female"/>
    <x v="3"/>
    <n v="81485"/>
    <s v="No"/>
    <x v="2"/>
  </r>
  <r>
    <s v="EMP0075"/>
    <x v="4"/>
    <s v="Male"/>
    <x v="2"/>
    <n v="49640"/>
    <s v="No"/>
    <x v="0"/>
  </r>
  <r>
    <s v="EMP0076"/>
    <x v="22"/>
    <s v="Female"/>
    <x v="4"/>
    <n v="74228"/>
    <s v="Yes"/>
    <x v="3"/>
  </r>
  <r>
    <s v="EMP0077"/>
    <x v="19"/>
    <s v="Male"/>
    <x v="3"/>
    <n v="79254"/>
    <s v="No"/>
    <x v="2"/>
  </r>
  <r>
    <s v="EMP0078"/>
    <x v="29"/>
    <s v="Female"/>
    <x v="3"/>
    <n v="73776"/>
    <s v="Yes"/>
    <x v="2"/>
  </r>
  <r>
    <s v="EMP0079"/>
    <x v="5"/>
    <s v="Female"/>
    <x v="4"/>
    <n v="71591"/>
    <s v="No"/>
    <x v="0"/>
  </r>
  <r>
    <s v="EMP0080"/>
    <x v="31"/>
    <s v="Male"/>
    <x v="5"/>
    <n v="49296"/>
    <s v="No"/>
    <x v="0"/>
  </r>
  <r>
    <s v="EMP0081"/>
    <x v="10"/>
    <s v="Female"/>
    <x v="3"/>
    <n v="86475"/>
    <s v="No"/>
    <x v="1"/>
  </r>
  <r>
    <s v="EMP0082"/>
    <x v="10"/>
    <s v="Female"/>
    <x v="4"/>
    <n v="91811"/>
    <s v="No"/>
    <x v="1"/>
  </r>
  <r>
    <s v="EMP0083"/>
    <x v="22"/>
    <s v="Female"/>
    <x v="1"/>
    <n v="55548"/>
    <s v="No"/>
    <x v="3"/>
  </r>
  <r>
    <s v="EMP0084"/>
    <x v="7"/>
    <s v="Male"/>
    <x v="2"/>
    <n v="55366"/>
    <s v="Yes"/>
    <x v="3"/>
  </r>
  <r>
    <s v="EMP0085"/>
    <x v="12"/>
    <s v="Male"/>
    <x v="3"/>
    <n v="68374"/>
    <s v="Yes"/>
    <x v="0"/>
  </r>
  <r>
    <s v="EMP0086"/>
    <x v="28"/>
    <s v="Female"/>
    <x v="1"/>
    <n v="60955"/>
    <s v="No"/>
    <x v="2"/>
  </r>
  <r>
    <s v="EMP0087"/>
    <x v="29"/>
    <s v="Male"/>
    <x v="1"/>
    <n v="58211"/>
    <s v="No"/>
    <x v="2"/>
  </r>
  <r>
    <s v="EMP0088"/>
    <x v="29"/>
    <s v="Female"/>
    <x v="1"/>
    <n v="66939"/>
    <s v="No"/>
    <x v="2"/>
  </r>
  <r>
    <s v="EMP0089"/>
    <x v="3"/>
    <s v="Female"/>
    <x v="4"/>
    <n v="72395"/>
    <s v="No"/>
    <x v="3"/>
  </r>
  <r>
    <s v="EMP0090"/>
    <x v="25"/>
    <s v="Male"/>
    <x v="3"/>
    <n v="85340"/>
    <s v="No"/>
    <x v="2"/>
  </r>
  <r>
    <s v="EMP0091"/>
    <x v="25"/>
    <s v="Male"/>
    <x v="5"/>
    <n v="60119"/>
    <s v="No"/>
    <x v="2"/>
  </r>
  <r>
    <s v="EMP0092"/>
    <x v="31"/>
    <s v="Female"/>
    <x v="3"/>
    <n v="61328"/>
    <s v="No"/>
    <x v="0"/>
  </r>
  <r>
    <s v="EMP0093"/>
    <x v="29"/>
    <s v="Female"/>
    <x v="3"/>
    <n v="69282"/>
    <s v="Yes"/>
    <x v="2"/>
  </r>
  <r>
    <s v="EMP0094"/>
    <x v="1"/>
    <s v="Male"/>
    <x v="2"/>
    <n v="55960"/>
    <s v="No"/>
    <x v="1"/>
  </r>
  <r>
    <s v="EMP0095"/>
    <x v="6"/>
    <s v="Male"/>
    <x v="4"/>
    <n v="62162"/>
    <s v="Yes"/>
    <x v="4"/>
  </r>
  <r>
    <s v="EMP0096"/>
    <x v="26"/>
    <s v="Female"/>
    <x v="0"/>
    <n v="47239"/>
    <s v="No"/>
    <x v="0"/>
  </r>
  <r>
    <s v="EMP0097"/>
    <x v="27"/>
    <s v="Female"/>
    <x v="4"/>
    <n v="79957"/>
    <s v="No"/>
    <x v="3"/>
  </r>
  <r>
    <s v="EMP0098"/>
    <x v="4"/>
    <s v="Female"/>
    <x v="5"/>
    <n v="55324"/>
    <s v="No"/>
    <x v="0"/>
  </r>
  <r>
    <s v="EMP0099"/>
    <x v="29"/>
    <s v="Female"/>
    <x v="0"/>
    <n v="52716"/>
    <s v="No"/>
    <x v="2"/>
  </r>
  <r>
    <s v="EMP0100"/>
    <x v="22"/>
    <s v="Male"/>
    <x v="0"/>
    <n v="54595"/>
    <s v="No"/>
    <x v="3"/>
  </r>
  <r>
    <s v="EMP0101"/>
    <x v="0"/>
    <s v="Male"/>
    <x v="2"/>
    <n v="47956"/>
    <s v="Yes"/>
    <x v="0"/>
  </r>
  <r>
    <s v="EMP0102"/>
    <x v="32"/>
    <s v="Male"/>
    <x v="3"/>
    <n v="73878"/>
    <s v="No"/>
    <x v="3"/>
  </r>
  <r>
    <s v="EMP0103"/>
    <x v="30"/>
    <s v="Male"/>
    <x v="3"/>
    <n v="74327"/>
    <s v="No"/>
    <x v="2"/>
  </r>
  <r>
    <s v="EMP0104"/>
    <x v="1"/>
    <s v="Female"/>
    <x v="3"/>
    <n v="82852"/>
    <s v="No"/>
    <x v="1"/>
  </r>
  <r>
    <s v="EMP0105"/>
    <x v="22"/>
    <s v="Male"/>
    <x v="2"/>
    <n v="52563"/>
    <s v="No"/>
    <x v="3"/>
  </r>
  <r>
    <s v="EMP0106"/>
    <x v="29"/>
    <s v="Female"/>
    <x v="5"/>
    <n v="59131"/>
    <s v="No"/>
    <x v="2"/>
  </r>
  <r>
    <s v="EMP0107"/>
    <x v="33"/>
    <s v="Female"/>
    <x v="2"/>
    <n v="54645"/>
    <s v="No"/>
    <x v="3"/>
  </r>
  <r>
    <s v="EMP0108"/>
    <x v="10"/>
    <s v="Male"/>
    <x v="1"/>
    <n v="75275"/>
    <s v="No"/>
    <x v="1"/>
  </r>
  <r>
    <s v="EMP0109"/>
    <x v="17"/>
    <s v="Male"/>
    <x v="0"/>
    <n v="61474"/>
    <s v="No"/>
    <x v="2"/>
  </r>
  <r>
    <s v="EMP0110"/>
    <x v="34"/>
    <s v="Male"/>
    <x v="2"/>
    <n v="44045"/>
    <s v="No"/>
    <x v="4"/>
  </r>
  <r>
    <s v="EMP0111"/>
    <x v="13"/>
    <s v="Female"/>
    <x v="3"/>
    <n v="83789"/>
    <s v="No"/>
    <x v="1"/>
  </r>
  <r>
    <s v="EMP0112"/>
    <x v="10"/>
    <s v="Female"/>
    <x v="2"/>
    <n v="66467"/>
    <s v="No"/>
    <x v="1"/>
  </r>
  <r>
    <s v="EMP0113"/>
    <x v="0"/>
    <s v="Male"/>
    <x v="2"/>
    <n v="45505"/>
    <s v="No"/>
    <x v="0"/>
  </r>
  <r>
    <s v="EMP0114"/>
    <x v="35"/>
    <s v="Male"/>
    <x v="4"/>
    <n v="71674"/>
    <s v="No"/>
    <x v="0"/>
  </r>
  <r>
    <s v="EMP0115"/>
    <x v="14"/>
    <s v="Female"/>
    <x v="5"/>
    <n v="70308"/>
    <s v="No"/>
    <x v="1"/>
  </r>
  <r>
    <s v="EMP0116"/>
    <x v="16"/>
    <s v="Male"/>
    <x v="0"/>
    <n v="50868"/>
    <s v="No"/>
    <x v="3"/>
  </r>
  <r>
    <s v="EMP0117"/>
    <x v="10"/>
    <s v="Female"/>
    <x v="0"/>
    <n v="71624"/>
    <s v="No"/>
    <x v="1"/>
  </r>
  <r>
    <s v="EMP0118"/>
    <x v="5"/>
    <s v="Male"/>
    <x v="1"/>
    <n v="51082"/>
    <s v="No"/>
    <x v="0"/>
  </r>
  <r>
    <s v="EMP0119"/>
    <x v="31"/>
    <s v="Female"/>
    <x v="3"/>
    <n v="57893"/>
    <s v="No"/>
    <x v="0"/>
  </r>
  <r>
    <s v="EMP0120"/>
    <x v="24"/>
    <s v="Male"/>
    <x v="4"/>
    <n v="82588"/>
    <s v="No"/>
    <x v="1"/>
  </r>
  <r>
    <s v="EMP0121"/>
    <x v="22"/>
    <s v="Male"/>
    <x v="1"/>
    <n v="60583"/>
    <s v="No"/>
    <x v="3"/>
  </r>
  <r>
    <s v="EMP0122"/>
    <x v="3"/>
    <s v="Female"/>
    <x v="3"/>
    <n v="70338"/>
    <s v="No"/>
    <x v="3"/>
  </r>
  <r>
    <s v="EMP0123"/>
    <x v="20"/>
    <s v="Female"/>
    <x v="1"/>
    <n v="68060"/>
    <s v="No"/>
    <x v="2"/>
  </r>
  <r>
    <s v="EMP0124"/>
    <x v="36"/>
    <s v="Male"/>
    <x v="2"/>
    <n v="48749"/>
    <s v="No"/>
    <x v="3"/>
  </r>
  <r>
    <s v="EMP0125"/>
    <x v="9"/>
    <s v="Male"/>
    <x v="5"/>
    <n v="48932"/>
    <s v="No"/>
    <x v="0"/>
  </r>
  <r>
    <s v="EMP0126"/>
    <x v="6"/>
    <s v="Male"/>
    <x v="2"/>
    <n v="45130"/>
    <s v="No"/>
    <x v="4"/>
  </r>
  <r>
    <s v="EMP0127"/>
    <x v="3"/>
    <s v="Female"/>
    <x v="0"/>
    <n v="52159"/>
    <s v="No"/>
    <x v="3"/>
  </r>
  <r>
    <s v="EMP0128"/>
    <x v="0"/>
    <s v="Male"/>
    <x v="0"/>
    <n v="41446"/>
    <s v="Yes"/>
    <x v="0"/>
  </r>
  <r>
    <s v="EMP0129"/>
    <x v="31"/>
    <s v="Male"/>
    <x v="2"/>
    <n v="46686"/>
    <s v="No"/>
    <x v="0"/>
  </r>
  <r>
    <s v="EMP0130"/>
    <x v="18"/>
    <s v="Male"/>
    <x v="3"/>
    <n v="82439"/>
    <s v="No"/>
    <x v="2"/>
  </r>
  <r>
    <s v="EMP0131"/>
    <x v="2"/>
    <s v="Female"/>
    <x v="3"/>
    <n v="70405"/>
    <s v="No"/>
    <x v="2"/>
  </r>
  <r>
    <s v="EMP0132"/>
    <x v="11"/>
    <s v="Female"/>
    <x v="5"/>
    <n v="57608"/>
    <s v="No"/>
    <x v="3"/>
  </r>
  <r>
    <s v="EMP0133"/>
    <x v="24"/>
    <s v="Male"/>
    <x v="0"/>
    <n v="69795"/>
    <s v="No"/>
    <x v="1"/>
  </r>
  <r>
    <s v="EMP0134"/>
    <x v="35"/>
    <s v="Female"/>
    <x v="1"/>
    <n v="59311"/>
    <s v="No"/>
    <x v="0"/>
  </r>
  <r>
    <s v="EMP0135"/>
    <x v="13"/>
    <s v="Female"/>
    <x v="0"/>
    <n v="73615"/>
    <s v="No"/>
    <x v="1"/>
  </r>
  <r>
    <s v="EMP0136"/>
    <x v="28"/>
    <s v="Female"/>
    <x v="2"/>
    <n v="63973"/>
    <s v="No"/>
    <x v="2"/>
  </r>
  <r>
    <s v="EMP0137"/>
    <x v="17"/>
    <s v="Female"/>
    <x v="0"/>
    <n v="69559"/>
    <s v="No"/>
    <x v="2"/>
  </r>
  <r>
    <s v="EMP0138"/>
    <x v="30"/>
    <s v="Male"/>
    <x v="2"/>
    <n v="54187"/>
    <s v="No"/>
    <x v="2"/>
  </r>
  <r>
    <s v="EMP0139"/>
    <x v="2"/>
    <s v="Male"/>
    <x v="0"/>
    <n v="66405"/>
    <s v="Yes"/>
    <x v="2"/>
  </r>
  <r>
    <s v="EMP0140"/>
    <x v="14"/>
    <s v="Female"/>
    <x v="1"/>
    <n v="74684"/>
    <s v="No"/>
    <x v="1"/>
  </r>
  <r>
    <s v="EMP0141"/>
    <x v="36"/>
    <s v="Female"/>
    <x v="1"/>
    <n v="52355"/>
    <s v="No"/>
    <x v="3"/>
  </r>
  <r>
    <s v="EMP0142"/>
    <x v="17"/>
    <s v="Male"/>
    <x v="5"/>
    <n v="73354"/>
    <s v="No"/>
    <x v="2"/>
  </r>
  <r>
    <s v="EMP0143"/>
    <x v="4"/>
    <s v="Female"/>
    <x v="1"/>
    <n v="51332"/>
    <s v="No"/>
    <x v="0"/>
  </r>
  <r>
    <s v="EMP0144"/>
    <x v="0"/>
    <s v="Female"/>
    <x v="5"/>
    <n v="47298"/>
    <s v="No"/>
    <x v="0"/>
  </r>
  <r>
    <s v="EMP0145"/>
    <x v="7"/>
    <s v="Female"/>
    <x v="3"/>
    <n v="78554"/>
    <s v="No"/>
    <x v="3"/>
  </r>
  <r>
    <s v="EMP0146"/>
    <x v="10"/>
    <s v="Male"/>
    <x v="3"/>
    <n v="78130"/>
    <s v="No"/>
    <x v="1"/>
  </r>
  <r>
    <s v="EMP0147"/>
    <x v="26"/>
    <s v="Male"/>
    <x v="2"/>
    <n v="51125"/>
    <s v="No"/>
    <x v="0"/>
  </r>
  <r>
    <s v="EMP0148"/>
    <x v="2"/>
    <s v="Female"/>
    <x v="5"/>
    <n v="60713"/>
    <s v="No"/>
    <x v="2"/>
  </r>
  <r>
    <s v="EMP0149"/>
    <x v="17"/>
    <s v="Male"/>
    <x v="3"/>
    <n v="79508"/>
    <s v="No"/>
    <x v="2"/>
  </r>
  <r>
    <s v="EMP0150"/>
    <x v="1"/>
    <s v="Female"/>
    <x v="3"/>
    <n v="92415"/>
    <s v="No"/>
    <x v="1"/>
  </r>
  <r>
    <s v="EMP0151"/>
    <x v="22"/>
    <s v="Female"/>
    <x v="4"/>
    <n v="76706"/>
    <s v="No"/>
    <x v="3"/>
  </r>
  <r>
    <s v="EMP0152"/>
    <x v="19"/>
    <s v="Female"/>
    <x v="3"/>
    <n v="89165"/>
    <s v="No"/>
    <x v="2"/>
  </r>
  <r>
    <s v="EMP0153"/>
    <x v="12"/>
    <s v="Female"/>
    <x v="5"/>
    <n v="52890"/>
    <s v="No"/>
    <x v="0"/>
  </r>
  <r>
    <s v="EMP0154"/>
    <x v="5"/>
    <s v="Female"/>
    <x v="5"/>
    <n v="48633"/>
    <s v="No"/>
    <x v="0"/>
  </r>
  <r>
    <s v="EMP0155"/>
    <x v="28"/>
    <s v="Male"/>
    <x v="5"/>
    <n v="65257"/>
    <s v="No"/>
    <x v="2"/>
  </r>
  <r>
    <s v="EMP0156"/>
    <x v="25"/>
    <s v="Male"/>
    <x v="2"/>
    <n v="65529"/>
    <s v="No"/>
    <x v="2"/>
  </r>
  <r>
    <s v="EMP0157"/>
    <x v="11"/>
    <s v="Female"/>
    <x v="1"/>
    <n v="52906"/>
    <s v="No"/>
    <x v="3"/>
  </r>
  <r>
    <s v="EMP0158"/>
    <x v="7"/>
    <s v="Male"/>
    <x v="0"/>
    <n v="51840"/>
    <s v="No"/>
    <x v="3"/>
  </r>
  <r>
    <s v="EMP0159"/>
    <x v="5"/>
    <s v="Female"/>
    <x v="4"/>
    <n v="72709"/>
    <s v="Yes"/>
    <x v="0"/>
  </r>
  <r>
    <s v="EMP0160"/>
    <x v="31"/>
    <s v="Female"/>
    <x v="2"/>
    <n v="40926"/>
    <s v="No"/>
    <x v="0"/>
  </r>
  <r>
    <s v="EMP0161"/>
    <x v="24"/>
    <s v="Male"/>
    <x v="4"/>
    <n v="83427"/>
    <s v="No"/>
    <x v="1"/>
  </r>
  <r>
    <s v="EMP0162"/>
    <x v="22"/>
    <s v="Female"/>
    <x v="1"/>
    <n v="54762"/>
    <s v="No"/>
    <x v="3"/>
  </r>
  <r>
    <s v="EMP0163"/>
    <x v="27"/>
    <s v="Male"/>
    <x v="3"/>
    <n v="75030"/>
    <s v="No"/>
    <x v="3"/>
  </r>
  <r>
    <s v="EMP0164"/>
    <x v="18"/>
    <s v="Female"/>
    <x v="1"/>
    <n v="67084"/>
    <s v="No"/>
    <x v="2"/>
  </r>
  <r>
    <s v="EMP0165"/>
    <x v="30"/>
    <s v="Female"/>
    <x v="4"/>
    <n v="93917"/>
    <s v="Yes"/>
    <x v="2"/>
  </r>
  <r>
    <s v="EMP0166"/>
    <x v="29"/>
    <s v="Female"/>
    <x v="1"/>
    <n v="62744"/>
    <s v="Yes"/>
    <x v="2"/>
  </r>
  <r>
    <s v="EMP0167"/>
    <x v="25"/>
    <s v="Female"/>
    <x v="5"/>
    <n v="63560"/>
    <s v="No"/>
    <x v="2"/>
  </r>
  <r>
    <s v="EMP0168"/>
    <x v="31"/>
    <s v="Female"/>
    <x v="2"/>
    <n v="42204"/>
    <s v="No"/>
    <x v="0"/>
  </r>
  <r>
    <s v="EMP0169"/>
    <x v="3"/>
    <s v="Male"/>
    <x v="1"/>
    <n v="57399"/>
    <s v="No"/>
    <x v="3"/>
  </r>
  <r>
    <s v="EMP0170"/>
    <x v="26"/>
    <s v="Male"/>
    <x v="0"/>
    <n v="44256"/>
    <s v="No"/>
    <x v="0"/>
  </r>
  <r>
    <s v="EMP0171"/>
    <x v="13"/>
    <s v="Female"/>
    <x v="0"/>
    <n v="60508"/>
    <s v="No"/>
    <x v="1"/>
  </r>
  <r>
    <s v="EMP0172"/>
    <x v="28"/>
    <s v="Male"/>
    <x v="4"/>
    <n v="77433"/>
    <s v="No"/>
    <x v="2"/>
  </r>
  <r>
    <s v="EMP0173"/>
    <x v="14"/>
    <s v="Female"/>
    <x v="4"/>
    <n v="85037"/>
    <s v="No"/>
    <x v="1"/>
  </r>
  <r>
    <s v="EMP0174"/>
    <x v="7"/>
    <s v="Female"/>
    <x v="5"/>
    <n v="53017"/>
    <s v="No"/>
    <x v="3"/>
  </r>
  <r>
    <s v="EMP0175"/>
    <x v="3"/>
    <s v="Female"/>
    <x v="1"/>
    <n v="58485"/>
    <s v="Yes"/>
    <x v="3"/>
  </r>
  <r>
    <s v="EMP0176"/>
    <x v="1"/>
    <s v="Male"/>
    <x v="3"/>
    <n v="81858"/>
    <s v="No"/>
    <x v="1"/>
  </r>
  <r>
    <s v="EMP0177"/>
    <x v="29"/>
    <s v="Female"/>
    <x v="5"/>
    <n v="62469"/>
    <s v="No"/>
    <x v="2"/>
  </r>
  <r>
    <s v="EMP0178"/>
    <x v="10"/>
    <s v="Female"/>
    <x v="1"/>
    <n v="62379"/>
    <s v="No"/>
    <x v="1"/>
  </r>
  <r>
    <s v="EMP0179"/>
    <x v="16"/>
    <s v="Female"/>
    <x v="5"/>
    <n v="57497"/>
    <s v="No"/>
    <x v="3"/>
  </r>
  <r>
    <s v="EMP0180"/>
    <x v="17"/>
    <s v="Male"/>
    <x v="5"/>
    <n v="61339"/>
    <s v="No"/>
    <x v="2"/>
  </r>
  <r>
    <s v="EMP0181"/>
    <x v="8"/>
    <s v="Female"/>
    <x v="1"/>
    <n v="62972"/>
    <s v="No"/>
    <x v="2"/>
  </r>
  <r>
    <s v="EMP0182"/>
    <x v="5"/>
    <s v="Female"/>
    <x v="1"/>
    <n v="55236"/>
    <s v="Yes"/>
    <x v="0"/>
  </r>
  <r>
    <s v="EMP0183"/>
    <x v="8"/>
    <s v="Male"/>
    <x v="3"/>
    <n v="72202"/>
    <s v="No"/>
    <x v="2"/>
  </r>
  <r>
    <s v="EMP0184"/>
    <x v="8"/>
    <s v="Female"/>
    <x v="5"/>
    <n v="56297"/>
    <s v="No"/>
    <x v="2"/>
  </r>
  <r>
    <s v="EMP0185"/>
    <x v="30"/>
    <s v="Male"/>
    <x v="0"/>
    <n v="55791"/>
    <s v="No"/>
    <x v="2"/>
  </r>
  <r>
    <s v="EMP0186"/>
    <x v="31"/>
    <s v="Female"/>
    <x v="4"/>
    <n v="69979"/>
    <s v="Yes"/>
    <x v="0"/>
  </r>
  <r>
    <s v="EMP0187"/>
    <x v="10"/>
    <s v="Male"/>
    <x v="1"/>
    <n v="68736"/>
    <s v="No"/>
    <x v="1"/>
  </r>
  <r>
    <s v="EMP0188"/>
    <x v="12"/>
    <s v="Male"/>
    <x v="2"/>
    <n v="46620"/>
    <s v="No"/>
    <x v="0"/>
  </r>
  <r>
    <s v="EMP0189"/>
    <x v="27"/>
    <s v="Male"/>
    <x v="5"/>
    <n v="52894"/>
    <s v="Yes"/>
    <x v="3"/>
  </r>
  <r>
    <s v="EMP0190"/>
    <x v="22"/>
    <s v="Female"/>
    <x v="5"/>
    <n v="48726"/>
    <s v="No"/>
    <x v="3"/>
  </r>
  <r>
    <s v="EMP0191"/>
    <x v="14"/>
    <s v="Male"/>
    <x v="0"/>
    <n v="53834"/>
    <s v="No"/>
    <x v="1"/>
  </r>
  <r>
    <s v="EMP0192"/>
    <x v="13"/>
    <s v="Male"/>
    <x v="3"/>
    <n v="87684"/>
    <s v="Yes"/>
    <x v="1"/>
  </r>
  <r>
    <s v="EMP0193"/>
    <x v="14"/>
    <s v="Female"/>
    <x v="3"/>
    <n v="80064"/>
    <s v="No"/>
    <x v="1"/>
  </r>
  <r>
    <s v="EMP0194"/>
    <x v="25"/>
    <s v="Female"/>
    <x v="0"/>
    <n v="53048"/>
    <s v="No"/>
    <x v="2"/>
  </r>
  <r>
    <s v="EMP0195"/>
    <x v="37"/>
    <s v="Female"/>
    <x v="1"/>
    <n v="47380"/>
    <s v="No"/>
    <x v="0"/>
  </r>
  <r>
    <s v="EMP0196"/>
    <x v="13"/>
    <s v="Female"/>
    <x v="3"/>
    <n v="93445"/>
    <s v="No"/>
    <x v="1"/>
  </r>
  <r>
    <s v="EMP0197"/>
    <x v="23"/>
    <s v="Female"/>
    <x v="5"/>
    <n v="72184"/>
    <s v="No"/>
    <x v="1"/>
  </r>
  <r>
    <s v="EMP0198"/>
    <x v="10"/>
    <s v="Male"/>
    <x v="3"/>
    <n v="79730"/>
    <s v="No"/>
    <x v="1"/>
  </r>
  <r>
    <s v="EMP0199"/>
    <x v="30"/>
    <s v="Female"/>
    <x v="3"/>
    <n v="80679"/>
    <s v="No"/>
    <x v="2"/>
  </r>
  <r>
    <s v="EMP0200"/>
    <x v="27"/>
    <s v="Female"/>
    <x v="4"/>
    <n v="76688"/>
    <s v="Yes"/>
    <x v="3"/>
  </r>
  <r>
    <s v="EMP0201"/>
    <x v="37"/>
    <s v="Male"/>
    <x v="3"/>
    <n v="64151"/>
    <s v="No"/>
    <x v="0"/>
  </r>
  <r>
    <s v="EMP0202"/>
    <x v="10"/>
    <s v="Male"/>
    <x v="1"/>
    <n v="79234"/>
    <s v="No"/>
    <x v="1"/>
  </r>
  <r>
    <s v="EMP0203"/>
    <x v="28"/>
    <s v="Female"/>
    <x v="0"/>
    <n v="62018"/>
    <s v="No"/>
    <x v="2"/>
  </r>
  <r>
    <s v="EMP0204"/>
    <x v="31"/>
    <s v="Female"/>
    <x v="1"/>
    <n v="46497"/>
    <s v="No"/>
    <x v="0"/>
  </r>
  <r>
    <s v="EMP0205"/>
    <x v="12"/>
    <s v="Female"/>
    <x v="4"/>
    <n v="71213"/>
    <s v="No"/>
    <x v="0"/>
  </r>
  <r>
    <s v="EMP0206"/>
    <x v="0"/>
    <s v="Female"/>
    <x v="1"/>
    <n v="51024"/>
    <s v="No"/>
    <x v="0"/>
  </r>
  <r>
    <s v="EMP0207"/>
    <x v="10"/>
    <s v="Male"/>
    <x v="1"/>
    <n v="80894"/>
    <s v="No"/>
    <x v="1"/>
  </r>
  <r>
    <s v="EMP0208"/>
    <x v="35"/>
    <s v="Female"/>
    <x v="0"/>
    <n v="51965"/>
    <s v="No"/>
    <x v="0"/>
  </r>
  <r>
    <s v="EMP0209"/>
    <x v="35"/>
    <s v="Male"/>
    <x v="1"/>
    <n v="52572"/>
    <s v="No"/>
    <x v="0"/>
  </r>
  <r>
    <s v="EMP0210"/>
    <x v="34"/>
    <s v="Male"/>
    <x v="0"/>
    <n v="39674"/>
    <s v="No"/>
    <x v="4"/>
  </r>
  <r>
    <s v="EMP0211"/>
    <x v="4"/>
    <s v="Female"/>
    <x v="2"/>
    <n v="51822"/>
    <s v="No"/>
    <x v="0"/>
  </r>
  <r>
    <s v="EMP0212"/>
    <x v="37"/>
    <s v="Male"/>
    <x v="4"/>
    <n v="68336"/>
    <s v="No"/>
    <x v="0"/>
  </r>
  <r>
    <s v="EMP0213"/>
    <x v="38"/>
    <s v="Female"/>
    <x v="0"/>
    <n v="51260"/>
    <s v="No"/>
    <x v="3"/>
  </r>
  <r>
    <s v="EMP0214"/>
    <x v="36"/>
    <s v="Male"/>
    <x v="2"/>
    <n v="48260"/>
    <s v="No"/>
    <x v="3"/>
  </r>
  <r>
    <s v="EMP0215"/>
    <x v="17"/>
    <s v="Female"/>
    <x v="5"/>
    <n v="64693"/>
    <s v="Yes"/>
    <x v="2"/>
  </r>
  <r>
    <s v="EMP0216"/>
    <x v="36"/>
    <s v="Female"/>
    <x v="4"/>
    <n v="77301"/>
    <s v="No"/>
    <x v="3"/>
  </r>
  <r>
    <s v="EMP0217"/>
    <x v="0"/>
    <s v="Male"/>
    <x v="3"/>
    <n v="62820"/>
    <s v="No"/>
    <x v="0"/>
  </r>
  <r>
    <s v="EMP0218"/>
    <x v="3"/>
    <s v="Female"/>
    <x v="5"/>
    <n v="55315"/>
    <s v="No"/>
    <x v="3"/>
  </r>
  <r>
    <s v="EMP0219"/>
    <x v="30"/>
    <s v="Male"/>
    <x v="2"/>
    <n v="62535"/>
    <s v="No"/>
    <x v="2"/>
  </r>
  <r>
    <s v="EMP0220"/>
    <x v="28"/>
    <s v="Female"/>
    <x v="5"/>
    <n v="64395"/>
    <s v="No"/>
    <x v="2"/>
  </r>
  <r>
    <s v="EMP0221"/>
    <x v="30"/>
    <s v="Female"/>
    <x v="5"/>
    <n v="59779"/>
    <s v="No"/>
    <x v="2"/>
  </r>
  <r>
    <s v="EMP0222"/>
    <x v="25"/>
    <s v="Male"/>
    <x v="3"/>
    <n v="82847"/>
    <s v="No"/>
    <x v="2"/>
  </r>
  <r>
    <s v="EMP0223"/>
    <x v="4"/>
    <s v="Male"/>
    <x v="1"/>
    <n v="55410"/>
    <s v="No"/>
    <x v="0"/>
  </r>
  <r>
    <s v="EMP0224"/>
    <x v="33"/>
    <s v="Female"/>
    <x v="0"/>
    <n v="60504"/>
    <s v="No"/>
    <x v="3"/>
  </r>
  <r>
    <s v="EMP0225"/>
    <x v="5"/>
    <s v="Male"/>
    <x v="2"/>
    <n v="45811"/>
    <s v="No"/>
    <x v="0"/>
  </r>
  <r>
    <s v="EMP0226"/>
    <x v="9"/>
    <s v="Male"/>
    <x v="0"/>
    <n v="44623"/>
    <s v="No"/>
    <x v="0"/>
  </r>
  <r>
    <s v="EMP0227"/>
    <x v="18"/>
    <s v="Female"/>
    <x v="0"/>
    <n v="55144"/>
    <s v="No"/>
    <x v="2"/>
  </r>
  <r>
    <s v="EMP0228"/>
    <x v="16"/>
    <s v="Female"/>
    <x v="1"/>
    <n v="56192"/>
    <s v="No"/>
    <x v="3"/>
  </r>
  <r>
    <s v="EMP0229"/>
    <x v="18"/>
    <s v="Male"/>
    <x v="5"/>
    <n v="59658"/>
    <s v="No"/>
    <x v="2"/>
  </r>
  <r>
    <s v="EMP0230"/>
    <x v="37"/>
    <s v="Female"/>
    <x v="3"/>
    <n v="67084"/>
    <s v="No"/>
    <x v="0"/>
  </r>
  <r>
    <s v="EMP0231"/>
    <x v="6"/>
    <s v="Female"/>
    <x v="1"/>
    <n v="48024"/>
    <s v="No"/>
    <x v="4"/>
  </r>
  <r>
    <s v="EMP0232"/>
    <x v="12"/>
    <s v="Male"/>
    <x v="3"/>
    <n v="67258"/>
    <s v="No"/>
    <x v="0"/>
  </r>
  <r>
    <s v="EMP0233"/>
    <x v="37"/>
    <s v="Male"/>
    <x v="5"/>
    <n v="47121"/>
    <s v="No"/>
    <x v="0"/>
  </r>
  <r>
    <s v="EMP0234"/>
    <x v="14"/>
    <s v="Male"/>
    <x v="2"/>
    <n v="59615"/>
    <s v="No"/>
    <x v="1"/>
  </r>
  <r>
    <s v="EMP0235"/>
    <x v="32"/>
    <s v="Male"/>
    <x v="0"/>
    <n v="51724"/>
    <s v="Yes"/>
    <x v="3"/>
  </r>
  <r>
    <s v="EMP0236"/>
    <x v="29"/>
    <s v="Female"/>
    <x v="2"/>
    <n v="61537"/>
    <s v="No"/>
    <x v="2"/>
  </r>
  <r>
    <s v="EMP0237"/>
    <x v="12"/>
    <s v="Female"/>
    <x v="5"/>
    <n v="48353"/>
    <s v="No"/>
    <x v="0"/>
  </r>
  <r>
    <s v="EMP0238"/>
    <x v="25"/>
    <s v="Male"/>
    <x v="1"/>
    <n v="63538"/>
    <s v="No"/>
    <x v="2"/>
  </r>
  <r>
    <s v="EMP0239"/>
    <x v="32"/>
    <s v="Male"/>
    <x v="0"/>
    <n v="59356"/>
    <s v="No"/>
    <x v="3"/>
  </r>
  <r>
    <s v="EMP0240"/>
    <x v="14"/>
    <s v="Male"/>
    <x v="0"/>
    <n v="64330"/>
    <s v="Yes"/>
    <x v="1"/>
  </r>
  <r>
    <s v="EMP0241"/>
    <x v="16"/>
    <s v="Male"/>
    <x v="4"/>
    <n v="77975"/>
    <s v="No"/>
    <x v="3"/>
  </r>
  <r>
    <s v="EMP0242"/>
    <x v="26"/>
    <s v="Male"/>
    <x v="5"/>
    <n v="51688"/>
    <s v="No"/>
    <x v="0"/>
  </r>
  <r>
    <s v="EMP0243"/>
    <x v="1"/>
    <s v="Male"/>
    <x v="0"/>
    <n v="61455"/>
    <s v="No"/>
    <x v="1"/>
  </r>
  <r>
    <s v="EMP0244"/>
    <x v="29"/>
    <s v="Male"/>
    <x v="4"/>
    <n v="78312"/>
    <s v="No"/>
    <x v="2"/>
  </r>
  <r>
    <s v="EMP0245"/>
    <x v="4"/>
    <s v="Female"/>
    <x v="5"/>
    <n v="52465"/>
    <s v="No"/>
    <x v="0"/>
  </r>
  <r>
    <s v="EMP0246"/>
    <x v="18"/>
    <s v="Female"/>
    <x v="0"/>
    <n v="60045"/>
    <s v="No"/>
    <x v="2"/>
  </r>
  <r>
    <s v="EMP0247"/>
    <x v="19"/>
    <s v="Male"/>
    <x v="2"/>
    <n v="64737"/>
    <s v="No"/>
    <x v="2"/>
  </r>
  <r>
    <s v="EMP0248"/>
    <x v="7"/>
    <s v="Female"/>
    <x v="1"/>
    <n v="63677"/>
    <s v="No"/>
    <x v="3"/>
  </r>
  <r>
    <s v="EMP0249"/>
    <x v="23"/>
    <s v="Male"/>
    <x v="2"/>
    <n v="58036"/>
    <s v="No"/>
    <x v="1"/>
  </r>
  <r>
    <s v="EMP0250"/>
    <x v="5"/>
    <s v="Male"/>
    <x v="2"/>
    <n v="41934"/>
    <s v="N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82BB31-38C0-4361-B392-33C77A3E9D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E10" firstHeaderRow="1" firstDataRow="3" firstDataCol="1"/>
  <pivotFields count="6">
    <pivotField showAll="0"/>
    <pivotField showAll="0"/>
    <pivotField axis="axisCol" showAll="0">
      <items count="3">
        <item x="1"/>
        <item x="0"/>
        <item t="default"/>
      </items>
    </pivotField>
    <pivotField axis="axisRow" showAll="0">
      <items count="7">
        <item x="3"/>
        <item x="2"/>
        <item x="4"/>
        <item x="1"/>
        <item x="0"/>
        <item x="5"/>
        <item t="default"/>
      </items>
    </pivotField>
    <pivotField showAll="0"/>
    <pivotField axis="axisCol" dataField="1" showAll="0">
      <items count="3">
        <item h="1" x="0"/>
        <item x="1"/>
        <item t="default"/>
      </items>
    </pivotField>
  </pivotFields>
  <rowFields count="1">
    <field x="3"/>
  </rowFields>
  <rowItems count="7">
    <i>
      <x/>
    </i>
    <i>
      <x v="1"/>
    </i>
    <i>
      <x v="2"/>
    </i>
    <i>
      <x v="3"/>
    </i>
    <i>
      <x v="4"/>
    </i>
    <i>
      <x v="5"/>
    </i>
    <i t="grand">
      <x/>
    </i>
  </rowItems>
  <colFields count="2">
    <field x="5"/>
    <field x="2"/>
  </colFields>
  <colItems count="4">
    <i>
      <x v="1"/>
      <x/>
    </i>
    <i r="1">
      <x v="1"/>
    </i>
    <i t="default">
      <x v="1"/>
    </i>
    <i t="grand">
      <x/>
    </i>
  </colItems>
  <dataFields count="1">
    <dataField name="Count of AttritionStatus" fld="5" subtotal="count" baseField="0" baseItem="0"/>
  </dataFields>
  <formats count="25">
    <format dxfId="229">
      <pivotArea type="origin" dataOnly="0" labelOnly="1" outline="0" fieldPosition="0"/>
    </format>
    <format dxfId="228">
      <pivotArea field="5" type="button" dataOnly="0" labelOnly="1" outline="0" axis="axisCol" fieldPosition="0"/>
    </format>
    <format dxfId="227">
      <pivotArea type="topRight" dataOnly="0" labelOnly="1" outline="0" fieldPosition="0"/>
    </format>
    <format dxfId="226">
      <pivotArea field="3" type="button" dataOnly="0" labelOnly="1" outline="0" axis="axisRow" fieldPosition="0"/>
    </format>
    <format dxfId="225">
      <pivotArea dataOnly="0" labelOnly="1" fieldPosition="0">
        <references count="1">
          <reference field="5" count="0"/>
        </references>
      </pivotArea>
    </format>
    <format dxfId="224">
      <pivotArea dataOnly="0" labelOnly="1" grandCol="1" outline="0" fieldPosition="0"/>
    </format>
    <format dxfId="223">
      <pivotArea type="origin" dataOnly="0" labelOnly="1" outline="0" fieldPosition="0"/>
    </format>
    <format dxfId="222">
      <pivotArea field="5" type="button" dataOnly="0" labelOnly="1" outline="0" axis="axisCol" fieldPosition="0"/>
    </format>
    <format dxfId="221">
      <pivotArea type="topRight" dataOnly="0" labelOnly="1" outline="0" fieldPosition="0"/>
    </format>
    <format dxfId="220">
      <pivotArea field="3" type="button" dataOnly="0" labelOnly="1" outline="0" axis="axisRow" fieldPosition="0"/>
    </format>
    <format dxfId="219">
      <pivotArea dataOnly="0" labelOnly="1" fieldPosition="0">
        <references count="1">
          <reference field="5" count="0"/>
        </references>
      </pivotArea>
    </format>
    <format dxfId="218">
      <pivotArea dataOnly="0" labelOnly="1" grandCol="1" outline="0" fieldPosition="0"/>
    </format>
    <format dxfId="217">
      <pivotArea type="origin" dataOnly="0" labelOnly="1" outline="0" fieldPosition="0"/>
    </format>
    <format dxfId="216">
      <pivotArea field="5" type="button" dataOnly="0" labelOnly="1" outline="0" axis="axisCol" fieldPosition="0"/>
    </format>
    <format dxfId="215">
      <pivotArea type="topRight" dataOnly="0" labelOnly="1" outline="0" fieldPosition="0"/>
    </format>
    <format dxfId="214">
      <pivotArea field="3" type="button" dataOnly="0" labelOnly="1" outline="0" axis="axisRow" fieldPosition="0"/>
    </format>
    <format dxfId="213">
      <pivotArea dataOnly="0" labelOnly="1" fieldPosition="0">
        <references count="1">
          <reference field="5" count="0"/>
        </references>
      </pivotArea>
    </format>
    <format dxfId="212">
      <pivotArea dataOnly="0" labelOnly="1" grandCol="1" outline="0" fieldPosition="0"/>
    </format>
    <format dxfId="211">
      <pivotArea field="3" type="button" dataOnly="0" labelOnly="1" outline="0" axis="axisRow" fieldPosition="0"/>
    </format>
    <format dxfId="210">
      <pivotArea dataOnly="0" labelOnly="1" fieldPosition="0">
        <references count="1">
          <reference field="5" count="0" defaultSubtotal="1"/>
        </references>
      </pivotArea>
    </format>
    <format dxfId="209">
      <pivotArea dataOnly="0" labelOnly="1" fieldPosition="0">
        <references count="1">
          <reference field="5" count="0" defaultSubtotal="1"/>
        </references>
      </pivotArea>
    </format>
    <format dxfId="208">
      <pivotArea type="origin" dataOnly="0" labelOnly="1" outline="0" fieldPosition="0"/>
    </format>
    <format dxfId="207">
      <pivotArea field="5" type="button" dataOnly="0" labelOnly="1" outline="0" axis="axisCol" fieldPosition="0"/>
    </format>
    <format dxfId="4">
      <pivotArea outline="0" collapsedLevelsAreSubtotals="1" fieldPosition="0"/>
    </format>
    <format dxfId="1">
      <pivotArea dataOnly="0" labelOnly="1" grandCol="1" outline="0" fieldPosition="0"/>
    </format>
  </format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3">
          <reference field="4294967294" count="1" selected="0">
            <x v="0"/>
          </reference>
          <reference field="2" count="1" selected="0">
            <x v="0"/>
          </reference>
          <reference field="5" count="1" selected="0">
            <x v="1"/>
          </reference>
        </references>
      </pivotArea>
    </chartFormat>
    <chartFormat chart="4" format="3" series="1">
      <pivotArea type="data" outline="0" fieldPosition="0">
        <references count="3">
          <reference field="4294967294" count="1" selected="0">
            <x v="0"/>
          </reference>
          <reference field="2" count="1" selected="0">
            <x v="1"/>
          </reference>
          <reference field="5" count="1" selected="0">
            <x v="1"/>
          </reference>
        </references>
      </pivotArea>
    </chartFormat>
    <chartFormat chart="0" format="2" series="1">
      <pivotArea type="data" outline="0" fieldPosition="0">
        <references count="3">
          <reference field="4294967294" count="1" selected="0">
            <x v="0"/>
          </reference>
          <reference field="2" count="1" selected="0">
            <x v="0"/>
          </reference>
          <reference field="5" count="1" selected="0">
            <x v="1"/>
          </reference>
        </references>
      </pivotArea>
    </chartFormat>
    <chartFormat chart="0" format="3" series="1">
      <pivotArea type="data" outline="0" fieldPosition="0">
        <references count="3">
          <reference field="4294967294" count="1" selected="0">
            <x v="0"/>
          </reference>
          <reference field="2" count="1" selected="0">
            <x v="1"/>
          </reference>
          <reference field="5" count="1" selected="0">
            <x v="1"/>
          </reference>
        </references>
      </pivotArea>
    </chartFormat>
    <chartFormat chart="4" format="4" series="1">
      <pivotArea type="data" outline="0" fieldPosition="0">
        <references count="3">
          <reference field="4294967294" count="1" selected="0">
            <x v="0"/>
          </reference>
          <reference field="2" count="1" selected="0">
            <x v="0"/>
          </reference>
          <reference field="5" count="1" selected="0">
            <x v="0"/>
          </reference>
        </references>
      </pivotArea>
    </chartFormat>
    <chartFormat chart="4" format="5" series="1">
      <pivotArea type="data" outline="0" fieldPosition="0">
        <references count="3">
          <reference field="4294967294" count="1" selected="0">
            <x v="0"/>
          </reference>
          <reference field="2" count="1" selected="0">
            <x v="1"/>
          </reference>
          <reference field="5" count="1" selected="0">
            <x v="0"/>
          </reference>
        </references>
      </pivotArea>
    </chartFormat>
    <chartFormat chart="13" format="8" series="1">
      <pivotArea type="data" outline="0" fieldPosition="0">
        <references count="3">
          <reference field="4294967294" count="1" selected="0">
            <x v="0"/>
          </reference>
          <reference field="2" count="1" selected="0">
            <x v="0"/>
          </reference>
          <reference field="5" count="1" selected="0">
            <x v="1"/>
          </reference>
        </references>
      </pivotArea>
    </chartFormat>
    <chartFormat chart="13" format="9" series="1">
      <pivotArea type="data" outline="0" fieldPosition="0">
        <references count="3">
          <reference field="4294967294" count="1" selected="0">
            <x v="0"/>
          </reference>
          <reference field="2" count="1" selected="0">
            <x v="1"/>
          </reference>
          <reference field="5"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829A7D-1461-4B3A-9DBD-89CA1EB4CE7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8" firstHeaderRow="1" firstDataRow="1" firstDataCol="1"/>
  <pivotFields count="7">
    <pivotField showAll="0"/>
    <pivotField showAll="0"/>
    <pivotField showAll="0"/>
    <pivotField axis="axisRow" showAll="0">
      <items count="7">
        <item x="3"/>
        <item x="2"/>
        <item x="4"/>
        <item x="1"/>
        <item x="0"/>
        <item x="5"/>
        <item t="default"/>
      </items>
    </pivotField>
    <pivotField dataField="1" showAll="0"/>
    <pivotField showAll="0"/>
    <pivotField showAll="0"/>
  </pivotFields>
  <rowFields count="1">
    <field x="3"/>
  </rowFields>
  <rowItems count="7">
    <i>
      <x/>
    </i>
    <i>
      <x v="1"/>
    </i>
    <i>
      <x v="2"/>
    </i>
    <i>
      <x v="3"/>
    </i>
    <i>
      <x v="4"/>
    </i>
    <i>
      <x v="5"/>
    </i>
    <i t="grand">
      <x/>
    </i>
  </rowItems>
  <colItems count="1">
    <i/>
  </colItems>
  <dataFields count="1">
    <dataField name="Average of Salary" fld="4" subtotal="average" baseField="3" baseItem="0"/>
  </dataFields>
  <formats count="1">
    <format dxfId="24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862ED3-1D80-4270-873F-6F8826921BE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8" firstHeaderRow="1" firstDataRow="1" firstDataCol="1"/>
  <pivotFields count="7">
    <pivotField dataField="1" showAll="0"/>
    <pivotField showAll="0">
      <items count="40">
        <item x="15"/>
        <item x="34"/>
        <item x="6"/>
        <item x="31"/>
        <item x="9"/>
        <item x="37"/>
        <item x="5"/>
        <item x="0"/>
        <item x="26"/>
        <item x="12"/>
        <item x="4"/>
        <item x="35"/>
        <item x="21"/>
        <item x="36"/>
        <item x="3"/>
        <item x="22"/>
        <item x="27"/>
        <item x="38"/>
        <item x="7"/>
        <item x="16"/>
        <item x="11"/>
        <item x="32"/>
        <item x="33"/>
        <item x="8"/>
        <item x="29"/>
        <item x="25"/>
        <item x="28"/>
        <item x="20"/>
        <item x="18"/>
        <item x="30"/>
        <item x="19"/>
        <item x="17"/>
        <item x="2"/>
        <item x="14"/>
        <item x="1"/>
        <item x="10"/>
        <item x="24"/>
        <item x="13"/>
        <item x="23"/>
        <item t="default"/>
      </items>
    </pivotField>
    <pivotField showAll="0"/>
    <pivotField showAll="0"/>
    <pivotField showAll="0"/>
    <pivotField showAll="0"/>
    <pivotField axis="axisRow" showAll="0">
      <items count="6">
        <item x="4"/>
        <item x="0"/>
        <item x="3"/>
        <item x="2"/>
        <item x="1"/>
        <item t="default"/>
      </items>
    </pivotField>
  </pivotFields>
  <rowFields count="1">
    <field x="6"/>
  </rowFields>
  <rowItems count="6">
    <i>
      <x/>
    </i>
    <i>
      <x v="1"/>
    </i>
    <i>
      <x v="2"/>
    </i>
    <i>
      <x v="3"/>
    </i>
    <i>
      <x v="4"/>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7AE8CA1-ECCE-45AB-B74E-1EB14B9E1F2D}" sourceName="Gender">
  <pivotTables>
    <pivotTable tabId="3" name="PivotTable1"/>
  </pivotTables>
  <data>
    <tabular pivotCacheId="200558535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26FF15D-7ED5-4E86-9E86-C194D13E815A}" sourceName="Department">
  <pivotTables>
    <pivotTable tabId="3" name="PivotTable1"/>
  </pivotTables>
  <data>
    <tabular pivotCacheId="2005585351">
      <items count="6">
        <i x="3" s="1"/>
        <i x="2" s="1"/>
        <i x="4"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77556EA-175C-49BE-9EEF-22E3CA402EB0}" cache="Slicer_Gender" caption="Gender" style="SlicerStyleLight2" rowHeight="241300"/>
  <slicer name="Department" xr10:uid="{B656DB8C-34AA-4442-AAB0-59B93C4EAAF1}" cache="Slicer_Department" caption="Department"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1DBA07-5F6F-4ACC-8AE8-1C93E4E8EE2E}" name="Table1" displayName="Table1" ref="A1:G251" totalsRowShown="0" headerRowDxfId="241" dataDxfId="239" headerRowBorderDxfId="240" tableBorderDxfId="238" totalsRowBorderDxfId="237">
  <autoFilter ref="A1:G251" xr:uid="{A51DBA07-5F6F-4ACC-8AE8-1C93E4E8EE2E}"/>
  <tableColumns count="7">
    <tableColumn id="1" xr3:uid="{AAF211CE-2E20-4FFA-A55B-24462B84CBA9}" name="EmployeeID" dataDxfId="236"/>
    <tableColumn id="2" xr3:uid="{312E72E6-6703-4FDC-A48E-A1B385C261D0}" name="Age" dataDxfId="235"/>
    <tableColumn id="3" xr3:uid="{0591C560-93DB-412A-9CA7-C8237FAB210B}" name="Gender" dataDxfId="234"/>
    <tableColumn id="4" xr3:uid="{28B653CD-6D45-4935-9D34-E4DEAE740622}" name="Department" dataDxfId="233"/>
    <tableColumn id="5" xr3:uid="{88CB8C05-4EEA-4FE3-B888-E1D2A45352C1}" name="Salary" dataDxfId="232"/>
    <tableColumn id="6" xr3:uid="{E6D999C4-BD6C-4BBE-8F29-00973CD6B59C}" name="AttritionStatus" dataDxfId="231"/>
    <tableColumn id="7" xr3:uid="{E0E9E0D2-5A9A-4E58-82F6-1FCF8850CA2C}" name="Age Group" dataDxfId="230">
      <calculatedColumnFormula>IF(B2&lt;25,"&lt;25",IF(B2&lt;=34,"25-34",IF(B2&lt;=44,"35-44",IF(B2&lt;=54,"45-54","55+"))))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2510-CFD8-464C-B7BC-E216E7610EE9}">
  <dimension ref="A1:AD34"/>
  <sheetViews>
    <sheetView showGridLines="0" tabSelected="1" zoomScale="71" zoomScaleNormal="71" workbookViewId="0">
      <selection activeCell="W21" sqref="W21:AD23"/>
    </sheetView>
  </sheetViews>
  <sheetFormatPr defaultRowHeight="15" x14ac:dyDescent="0.25"/>
  <cols>
    <col min="1" max="23" width="9.140625" style="15"/>
    <col min="24" max="24" width="4.85546875" style="15" customWidth="1"/>
    <col min="25" max="26" width="9.140625" style="15"/>
    <col min="27" max="27" width="10.7109375" style="15" customWidth="1"/>
    <col min="28" max="28" width="9.140625" style="15"/>
    <col min="29" max="29" width="8.7109375" style="15" customWidth="1"/>
    <col min="30" max="30" width="4.28515625" style="15" customWidth="1"/>
    <col min="31" max="31" width="1" style="15" customWidth="1"/>
    <col min="32" max="16384" width="9.140625" style="15"/>
  </cols>
  <sheetData>
    <row r="1" spans="1:30" ht="15" customHeight="1" x14ac:dyDescent="0.25">
      <c r="A1" s="27" t="s">
        <v>281</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row>
    <row r="2" spans="1:30" ht="15" customHeight="1" x14ac:dyDescent="0.2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row>
    <row r="3" spans="1:30" ht="5.25" customHeight="1"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row>
    <row r="18" spans="23:30" ht="4.5" customHeight="1" x14ac:dyDescent="0.25"/>
    <row r="19" spans="23:30" ht="15.75" thickBot="1" x14ac:dyDescent="0.3"/>
    <row r="20" spans="23:30" ht="25.5" x14ac:dyDescent="0.45">
      <c r="W20" s="30" t="s">
        <v>282</v>
      </c>
      <c r="X20" s="31"/>
      <c r="Y20" s="31"/>
      <c r="Z20" s="31"/>
      <c r="AA20" s="31"/>
      <c r="AB20" s="31"/>
      <c r="AC20" s="31"/>
      <c r="AD20" s="32"/>
    </row>
    <row r="21" spans="23:30" ht="16.5" customHeight="1" x14ac:dyDescent="0.25">
      <c r="W21" s="40" t="s">
        <v>286</v>
      </c>
      <c r="X21" s="41"/>
      <c r="Y21" s="41"/>
      <c r="Z21" s="41"/>
      <c r="AA21" s="41"/>
      <c r="AB21" s="41"/>
      <c r="AC21" s="41"/>
      <c r="AD21" s="33"/>
    </row>
    <row r="22" spans="23:30" ht="15" customHeight="1" x14ac:dyDescent="0.25">
      <c r="W22" s="40"/>
      <c r="X22" s="41"/>
      <c r="Y22" s="41"/>
      <c r="Z22" s="41"/>
      <c r="AA22" s="41"/>
      <c r="AB22" s="41"/>
      <c r="AC22" s="41"/>
      <c r="AD22" s="33"/>
    </row>
    <row r="23" spans="23:30" x14ac:dyDescent="0.25">
      <c r="W23" s="40"/>
      <c r="X23" s="41"/>
      <c r="Y23" s="41"/>
      <c r="Z23" s="41"/>
      <c r="AA23" s="41"/>
      <c r="AB23" s="41"/>
      <c r="AC23" s="41"/>
      <c r="AD23" s="33"/>
    </row>
    <row r="24" spans="23:30" ht="15" customHeight="1" x14ac:dyDescent="0.25">
      <c r="W24" s="40" t="s">
        <v>283</v>
      </c>
      <c r="X24" s="41"/>
      <c r="Y24" s="41"/>
      <c r="Z24" s="41"/>
      <c r="AA24" s="41"/>
      <c r="AB24" s="41"/>
      <c r="AC24" s="41"/>
      <c r="AD24" s="33"/>
    </row>
    <row r="25" spans="23:30" ht="15" customHeight="1" x14ac:dyDescent="0.25">
      <c r="W25" s="40"/>
      <c r="X25" s="41"/>
      <c r="Y25" s="41"/>
      <c r="Z25" s="41"/>
      <c r="AA25" s="41"/>
      <c r="AB25" s="41"/>
      <c r="AC25" s="41"/>
      <c r="AD25" s="33"/>
    </row>
    <row r="26" spans="23:30" ht="15" customHeight="1" x14ac:dyDescent="0.25">
      <c r="W26" s="40"/>
      <c r="X26" s="41"/>
      <c r="Y26" s="41"/>
      <c r="Z26" s="41"/>
      <c r="AA26" s="41"/>
      <c r="AB26" s="41"/>
      <c r="AC26" s="41"/>
      <c r="AD26" s="33"/>
    </row>
    <row r="27" spans="23:30" ht="16.5" customHeight="1" x14ac:dyDescent="0.25">
      <c r="W27" s="42" t="s">
        <v>284</v>
      </c>
      <c r="X27" s="43"/>
      <c r="Y27" s="43"/>
      <c r="Z27" s="43"/>
      <c r="AA27" s="43"/>
      <c r="AB27" s="43"/>
      <c r="AC27" s="43"/>
      <c r="AD27" s="34"/>
    </row>
    <row r="28" spans="23:30" x14ac:dyDescent="0.25">
      <c r="W28" s="42"/>
      <c r="X28" s="43"/>
      <c r="Y28" s="43"/>
      <c r="Z28" s="43"/>
      <c r="AA28" s="43"/>
      <c r="AB28" s="43"/>
      <c r="AC28" s="43"/>
      <c r="AD28" s="34"/>
    </row>
    <row r="29" spans="23:30" x14ac:dyDescent="0.25">
      <c r="W29" s="42"/>
      <c r="X29" s="43"/>
      <c r="Y29" s="43"/>
      <c r="Z29" s="43"/>
      <c r="AA29" s="43"/>
      <c r="AB29" s="43"/>
      <c r="AC29" s="43"/>
      <c r="AD29" s="34"/>
    </row>
    <row r="30" spans="23:30" ht="15" customHeight="1" x14ac:dyDescent="0.25">
      <c r="W30" s="40" t="s">
        <v>285</v>
      </c>
      <c r="X30" s="41"/>
      <c r="Y30" s="41"/>
      <c r="Z30" s="41"/>
      <c r="AA30" s="41"/>
      <c r="AB30" s="41"/>
      <c r="AC30" s="41"/>
      <c r="AD30" s="33"/>
    </row>
    <row r="31" spans="23:30" ht="15" customHeight="1" x14ac:dyDescent="0.25">
      <c r="W31" s="40"/>
      <c r="X31" s="41"/>
      <c r="Y31" s="41"/>
      <c r="Z31" s="41"/>
      <c r="AA31" s="41"/>
      <c r="AB31" s="41"/>
      <c r="AC31" s="41"/>
      <c r="AD31" s="33"/>
    </row>
    <row r="32" spans="23:30" ht="15" customHeight="1" x14ac:dyDescent="0.25">
      <c r="W32" s="40"/>
      <c r="X32" s="41"/>
      <c r="Y32" s="41"/>
      <c r="Z32" s="41"/>
      <c r="AA32" s="41"/>
      <c r="AB32" s="41"/>
      <c r="AC32" s="41"/>
      <c r="AD32" s="33"/>
    </row>
    <row r="33" spans="23:30" ht="15" customHeight="1" x14ac:dyDescent="0.3">
      <c r="W33" s="29"/>
      <c r="X33" s="35"/>
      <c r="Y33" s="35"/>
      <c r="Z33" s="35"/>
      <c r="AA33" s="35"/>
      <c r="AB33" s="35"/>
      <c r="AC33" s="35"/>
      <c r="AD33" s="36"/>
    </row>
    <row r="34" spans="23:30" ht="15" customHeight="1" thickBot="1" x14ac:dyDescent="0.35">
      <c r="W34" s="37"/>
      <c r="X34" s="38"/>
      <c r="Y34" s="38"/>
      <c r="Z34" s="38"/>
      <c r="AA34" s="38"/>
      <c r="AB34" s="38"/>
      <c r="AC34" s="38"/>
      <c r="AD34" s="39"/>
    </row>
  </sheetData>
  <mergeCells count="6">
    <mergeCell ref="W24:AD26"/>
    <mergeCell ref="W27:AD29"/>
    <mergeCell ref="W30:AD32"/>
    <mergeCell ref="A1:AD3"/>
    <mergeCell ref="W20:AD20"/>
    <mergeCell ref="W21:AD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4F629-F7A8-427A-8203-F5CB2C0E6EB1}">
  <dimension ref="A1:G251"/>
  <sheetViews>
    <sheetView zoomScaleNormal="100" workbookViewId="0">
      <selection activeCell="G2" sqref="G2"/>
    </sheetView>
  </sheetViews>
  <sheetFormatPr defaultRowHeight="15" x14ac:dyDescent="0.25"/>
  <cols>
    <col min="1" max="5" width="15" style="1" customWidth="1"/>
    <col min="6" max="6" width="16.140625" style="1" customWidth="1"/>
    <col min="7" max="7" width="12.5703125" customWidth="1"/>
  </cols>
  <sheetData>
    <row r="1" spans="1:7" x14ac:dyDescent="0.25">
      <c r="A1" s="8" t="s">
        <v>0</v>
      </c>
      <c r="B1" s="7" t="s">
        <v>1</v>
      </c>
      <c r="C1" s="7" t="s">
        <v>2</v>
      </c>
      <c r="D1" s="7" t="s">
        <v>3</v>
      </c>
      <c r="E1" s="7" t="s">
        <v>4</v>
      </c>
      <c r="F1" s="10" t="s">
        <v>5</v>
      </c>
      <c r="G1" s="7" t="s">
        <v>274</v>
      </c>
    </row>
    <row r="2" spans="1:7" x14ac:dyDescent="0.25">
      <c r="A2" s="9" t="s">
        <v>6</v>
      </c>
      <c r="B2" s="6">
        <v>29</v>
      </c>
      <c r="C2" s="6" t="s">
        <v>7</v>
      </c>
      <c r="D2" s="6" t="s">
        <v>8</v>
      </c>
      <c r="E2" s="6">
        <v>41548</v>
      </c>
      <c r="F2" s="11" t="s">
        <v>9</v>
      </c>
      <c r="G2" s="7" t="str">
        <f t="shared" ref="G2:G65" si="0">IF(B2&lt;25,"&lt;25",IF(B2&lt;=34,"25-34",IF(B2&lt;=44,"35-44",IF(B2&lt;=54,"45-54","55+"))))</f>
        <v>25-34</v>
      </c>
    </row>
    <row r="3" spans="1:7" x14ac:dyDescent="0.25">
      <c r="A3" s="9" t="s">
        <v>10</v>
      </c>
      <c r="B3" s="6">
        <v>56</v>
      </c>
      <c r="C3" s="6" t="s">
        <v>7</v>
      </c>
      <c r="D3" s="6" t="s">
        <v>11</v>
      </c>
      <c r="E3" s="6">
        <v>65011</v>
      </c>
      <c r="F3" s="11" t="s">
        <v>9</v>
      </c>
      <c r="G3" s="6" t="str">
        <f t="shared" si="0"/>
        <v>55+</v>
      </c>
    </row>
    <row r="4" spans="1:7" x14ac:dyDescent="0.25">
      <c r="A4" s="9" t="s">
        <v>12</v>
      </c>
      <c r="B4" s="6">
        <v>54</v>
      </c>
      <c r="C4" s="6" t="s">
        <v>7</v>
      </c>
      <c r="D4" s="6" t="s">
        <v>11</v>
      </c>
      <c r="E4" s="6">
        <v>65180</v>
      </c>
      <c r="F4" s="11" t="s">
        <v>9</v>
      </c>
      <c r="G4" s="6" t="str">
        <f t="shared" si="0"/>
        <v>45-54</v>
      </c>
    </row>
    <row r="5" spans="1:7" x14ac:dyDescent="0.25">
      <c r="A5" s="9" t="s">
        <v>13</v>
      </c>
      <c r="B5" s="6">
        <v>36</v>
      </c>
      <c r="C5" s="6" t="s">
        <v>14</v>
      </c>
      <c r="D5" s="6" t="s">
        <v>11</v>
      </c>
      <c r="E5" s="6">
        <v>58501</v>
      </c>
      <c r="F5" s="11" t="s">
        <v>9</v>
      </c>
      <c r="G5" s="6" t="str">
        <f t="shared" si="0"/>
        <v>35-44</v>
      </c>
    </row>
    <row r="6" spans="1:7" x14ac:dyDescent="0.25">
      <c r="A6" s="9" t="s">
        <v>15</v>
      </c>
      <c r="B6" s="6">
        <v>32</v>
      </c>
      <c r="C6" s="6" t="s">
        <v>14</v>
      </c>
      <c r="D6" s="6" t="s">
        <v>16</v>
      </c>
      <c r="E6" s="6">
        <v>45111</v>
      </c>
      <c r="F6" s="11" t="s">
        <v>9</v>
      </c>
      <c r="G6" s="6" t="str">
        <f t="shared" si="0"/>
        <v>25-34</v>
      </c>
    </row>
    <row r="7" spans="1:7" x14ac:dyDescent="0.25">
      <c r="A7" s="9" t="s">
        <v>17</v>
      </c>
      <c r="B7" s="6">
        <v>28</v>
      </c>
      <c r="C7" s="6" t="s">
        <v>7</v>
      </c>
      <c r="D7" s="6" t="s">
        <v>18</v>
      </c>
      <c r="E7" s="6">
        <v>65470</v>
      </c>
      <c r="F7" s="11" t="s">
        <v>9</v>
      </c>
      <c r="G7" s="6" t="str">
        <f t="shared" si="0"/>
        <v>25-34</v>
      </c>
    </row>
    <row r="8" spans="1:7" x14ac:dyDescent="0.25">
      <c r="A8" s="9" t="s">
        <v>19</v>
      </c>
      <c r="B8" s="6">
        <v>24</v>
      </c>
      <c r="C8" s="6" t="s">
        <v>14</v>
      </c>
      <c r="D8" s="6" t="s">
        <v>11</v>
      </c>
      <c r="E8" s="6">
        <v>52303</v>
      </c>
      <c r="F8" s="11" t="s">
        <v>20</v>
      </c>
      <c r="G8" s="6" t="str">
        <f t="shared" si="0"/>
        <v>&lt;25</v>
      </c>
    </row>
    <row r="9" spans="1:7" x14ac:dyDescent="0.25">
      <c r="A9" s="9" t="s">
        <v>21</v>
      </c>
      <c r="B9" s="6">
        <v>40</v>
      </c>
      <c r="C9" s="6" t="s">
        <v>14</v>
      </c>
      <c r="D9" s="6" t="s">
        <v>11</v>
      </c>
      <c r="E9" s="6">
        <v>53487</v>
      </c>
      <c r="F9" s="11" t="s">
        <v>9</v>
      </c>
      <c r="G9" s="6" t="str">
        <f t="shared" si="0"/>
        <v>35-44</v>
      </c>
    </row>
    <row r="10" spans="1:7" x14ac:dyDescent="0.25">
      <c r="A10" s="9" t="s">
        <v>22</v>
      </c>
      <c r="B10" s="6">
        <v>40</v>
      </c>
      <c r="C10" s="6" t="s">
        <v>7</v>
      </c>
      <c r="D10" s="6" t="s">
        <v>23</v>
      </c>
      <c r="E10" s="6">
        <v>79039</v>
      </c>
      <c r="F10" s="11" t="s">
        <v>9</v>
      </c>
      <c r="G10" s="6" t="str">
        <f t="shared" si="0"/>
        <v>35-44</v>
      </c>
    </row>
    <row r="11" spans="1:7" x14ac:dyDescent="0.25">
      <c r="A11" s="9" t="s">
        <v>24</v>
      </c>
      <c r="B11" s="6">
        <v>45</v>
      </c>
      <c r="C11" s="6" t="s">
        <v>7</v>
      </c>
      <c r="D11" s="6" t="s">
        <v>16</v>
      </c>
      <c r="E11" s="6">
        <v>56647</v>
      </c>
      <c r="F11" s="11" t="s">
        <v>9</v>
      </c>
      <c r="G11" s="6" t="str">
        <f t="shared" si="0"/>
        <v>45-54</v>
      </c>
    </row>
    <row r="12" spans="1:7" x14ac:dyDescent="0.25">
      <c r="A12" s="9" t="s">
        <v>25</v>
      </c>
      <c r="B12" s="6">
        <v>26</v>
      </c>
      <c r="C12" s="6" t="s">
        <v>7</v>
      </c>
      <c r="D12" s="6" t="s">
        <v>11</v>
      </c>
      <c r="E12" s="6">
        <v>48365</v>
      </c>
      <c r="F12" s="11" t="s">
        <v>9</v>
      </c>
      <c r="G12" s="6" t="str">
        <f t="shared" si="0"/>
        <v>25-34</v>
      </c>
    </row>
    <row r="13" spans="1:7" x14ac:dyDescent="0.25">
      <c r="A13" s="9" t="s">
        <v>26</v>
      </c>
      <c r="B13" s="6">
        <v>57</v>
      </c>
      <c r="C13" s="6" t="s">
        <v>7</v>
      </c>
      <c r="D13" s="6" t="s">
        <v>8</v>
      </c>
      <c r="E13" s="6">
        <v>61821</v>
      </c>
      <c r="F13" s="11" t="s">
        <v>20</v>
      </c>
      <c r="G13" s="6" t="str">
        <f t="shared" si="0"/>
        <v>55+</v>
      </c>
    </row>
    <row r="14" spans="1:7" x14ac:dyDescent="0.25">
      <c r="A14" s="9" t="s">
        <v>27</v>
      </c>
      <c r="B14" s="6">
        <v>24</v>
      </c>
      <c r="C14" s="6" t="s">
        <v>14</v>
      </c>
      <c r="D14" s="6" t="s">
        <v>18</v>
      </c>
      <c r="E14" s="6">
        <v>58755</v>
      </c>
      <c r="F14" s="11" t="s">
        <v>9</v>
      </c>
      <c r="G14" s="6" t="str">
        <f t="shared" si="0"/>
        <v>&lt;25</v>
      </c>
    </row>
    <row r="15" spans="1:7" x14ac:dyDescent="0.25">
      <c r="A15" s="9" t="s">
        <v>28</v>
      </c>
      <c r="B15" s="6">
        <v>42</v>
      </c>
      <c r="C15" s="6" t="s">
        <v>7</v>
      </c>
      <c r="D15" s="6" t="s">
        <v>8</v>
      </c>
      <c r="E15" s="6">
        <v>56069</v>
      </c>
      <c r="F15" s="11" t="s">
        <v>9</v>
      </c>
      <c r="G15" s="6" t="str">
        <f t="shared" si="0"/>
        <v>35-44</v>
      </c>
    </row>
    <row r="16" spans="1:7" x14ac:dyDescent="0.25">
      <c r="A16" s="9" t="s">
        <v>29</v>
      </c>
      <c r="B16" s="6">
        <v>31</v>
      </c>
      <c r="C16" s="6" t="s">
        <v>14</v>
      </c>
      <c r="D16" s="6" t="s">
        <v>23</v>
      </c>
      <c r="E16" s="6">
        <v>70200</v>
      </c>
      <c r="F16" s="11" t="s">
        <v>9</v>
      </c>
      <c r="G16" s="6" t="str">
        <f t="shared" si="0"/>
        <v>25-34</v>
      </c>
    </row>
    <row r="17" spans="1:7" x14ac:dyDescent="0.25">
      <c r="A17" s="9" t="s">
        <v>30</v>
      </c>
      <c r="B17" s="6">
        <v>59</v>
      </c>
      <c r="C17" s="6" t="s">
        <v>14</v>
      </c>
      <c r="D17" s="6" t="s">
        <v>11</v>
      </c>
      <c r="E17" s="6">
        <v>67943</v>
      </c>
      <c r="F17" s="11" t="s">
        <v>9</v>
      </c>
      <c r="G17" s="6" t="str">
        <f t="shared" si="0"/>
        <v>55+</v>
      </c>
    </row>
    <row r="18" spans="1:7" x14ac:dyDescent="0.25">
      <c r="A18" s="9" t="s">
        <v>31</v>
      </c>
      <c r="B18" s="6">
        <v>54</v>
      </c>
      <c r="C18" s="6" t="s">
        <v>14</v>
      </c>
      <c r="D18" s="6" t="s">
        <v>32</v>
      </c>
      <c r="E18" s="6">
        <v>72781</v>
      </c>
      <c r="F18" s="11" t="s">
        <v>9</v>
      </c>
      <c r="G18" s="6" t="str">
        <f t="shared" si="0"/>
        <v>45-54</v>
      </c>
    </row>
    <row r="19" spans="1:7" x14ac:dyDescent="0.25">
      <c r="A19" s="9" t="s">
        <v>33</v>
      </c>
      <c r="B19" s="6">
        <v>32</v>
      </c>
      <c r="C19" s="6" t="s">
        <v>14</v>
      </c>
      <c r="D19" s="6" t="s">
        <v>11</v>
      </c>
      <c r="E19" s="6">
        <v>51370</v>
      </c>
      <c r="F19" s="11" t="s">
        <v>9</v>
      </c>
      <c r="G19" s="6" t="str">
        <f t="shared" si="0"/>
        <v>25-34</v>
      </c>
    </row>
    <row r="20" spans="1:7" x14ac:dyDescent="0.25">
      <c r="A20" s="9" t="s">
        <v>34</v>
      </c>
      <c r="B20" s="6">
        <v>55</v>
      </c>
      <c r="C20" s="6" t="s">
        <v>14</v>
      </c>
      <c r="D20" s="6" t="s">
        <v>11</v>
      </c>
      <c r="E20" s="6">
        <v>71494</v>
      </c>
      <c r="F20" s="11" t="s">
        <v>9</v>
      </c>
      <c r="G20" s="6" t="str">
        <f t="shared" si="0"/>
        <v>55+</v>
      </c>
    </row>
    <row r="21" spans="1:7" x14ac:dyDescent="0.25">
      <c r="A21" s="9" t="s">
        <v>35</v>
      </c>
      <c r="B21" s="6">
        <v>56</v>
      </c>
      <c r="C21" s="6" t="s">
        <v>14</v>
      </c>
      <c r="D21" s="6" t="s">
        <v>8</v>
      </c>
      <c r="E21" s="6">
        <v>57730</v>
      </c>
      <c r="F21" s="11" t="s">
        <v>9</v>
      </c>
      <c r="G21" s="6" t="str">
        <f t="shared" si="0"/>
        <v>55+</v>
      </c>
    </row>
    <row r="22" spans="1:7" x14ac:dyDescent="0.25">
      <c r="A22" s="9" t="s">
        <v>36</v>
      </c>
      <c r="B22" s="6">
        <v>22</v>
      </c>
      <c r="C22" s="6" t="s">
        <v>14</v>
      </c>
      <c r="D22" s="6" t="s">
        <v>11</v>
      </c>
      <c r="E22" s="6">
        <v>48061</v>
      </c>
      <c r="F22" s="11" t="s">
        <v>20</v>
      </c>
      <c r="G22" s="6" t="str">
        <f t="shared" si="0"/>
        <v>&lt;25</v>
      </c>
    </row>
    <row r="23" spans="1:7" x14ac:dyDescent="0.25">
      <c r="A23" s="9" t="s">
        <v>37</v>
      </c>
      <c r="B23" s="6">
        <v>41</v>
      </c>
      <c r="C23" s="6" t="s">
        <v>7</v>
      </c>
      <c r="D23" s="6" t="s">
        <v>23</v>
      </c>
      <c r="E23" s="6">
        <v>73444</v>
      </c>
      <c r="F23" s="11" t="s">
        <v>9</v>
      </c>
      <c r="G23" s="6" t="str">
        <f t="shared" si="0"/>
        <v>35-44</v>
      </c>
    </row>
    <row r="24" spans="1:7" x14ac:dyDescent="0.25">
      <c r="A24" s="9" t="s">
        <v>38</v>
      </c>
      <c r="B24" s="6">
        <v>55</v>
      </c>
      <c r="C24" s="6" t="s">
        <v>7</v>
      </c>
      <c r="D24" s="6" t="s">
        <v>11</v>
      </c>
      <c r="E24" s="6">
        <v>62704</v>
      </c>
      <c r="F24" s="11" t="s">
        <v>9</v>
      </c>
      <c r="G24" s="6" t="str">
        <f t="shared" si="0"/>
        <v>55+</v>
      </c>
    </row>
    <row r="25" spans="1:7" x14ac:dyDescent="0.25">
      <c r="A25" s="9" t="s">
        <v>39</v>
      </c>
      <c r="B25" s="6">
        <v>41</v>
      </c>
      <c r="C25" s="6" t="s">
        <v>7</v>
      </c>
      <c r="D25" s="6" t="s">
        <v>32</v>
      </c>
      <c r="E25" s="6">
        <v>55427</v>
      </c>
      <c r="F25" s="11" t="s">
        <v>20</v>
      </c>
      <c r="G25" s="6" t="str">
        <f t="shared" si="0"/>
        <v>35-44</v>
      </c>
    </row>
    <row r="26" spans="1:7" x14ac:dyDescent="0.25">
      <c r="A26" s="9" t="s">
        <v>40</v>
      </c>
      <c r="B26" s="6">
        <v>53</v>
      </c>
      <c r="C26" s="6" t="s">
        <v>7</v>
      </c>
      <c r="D26" s="6" t="s">
        <v>11</v>
      </c>
      <c r="E26" s="6">
        <v>69297</v>
      </c>
      <c r="F26" s="11" t="s">
        <v>9</v>
      </c>
      <c r="G26" s="6" t="str">
        <f t="shared" si="0"/>
        <v>45-54</v>
      </c>
    </row>
    <row r="27" spans="1:7" x14ac:dyDescent="0.25">
      <c r="A27" s="9" t="s">
        <v>41</v>
      </c>
      <c r="B27" s="6">
        <v>57</v>
      </c>
      <c r="C27" s="6" t="s">
        <v>7</v>
      </c>
      <c r="D27" s="6" t="s">
        <v>16</v>
      </c>
      <c r="E27" s="6">
        <v>66087</v>
      </c>
      <c r="F27" s="11" t="s">
        <v>9</v>
      </c>
      <c r="G27" s="6" t="str">
        <f t="shared" si="0"/>
        <v>55+</v>
      </c>
    </row>
    <row r="28" spans="1:7" x14ac:dyDescent="0.25">
      <c r="A28" s="9" t="s">
        <v>42</v>
      </c>
      <c r="B28" s="6">
        <v>56</v>
      </c>
      <c r="C28" s="6" t="s">
        <v>7</v>
      </c>
      <c r="D28" s="6" t="s">
        <v>8</v>
      </c>
      <c r="E28" s="6">
        <v>62860</v>
      </c>
      <c r="F28" s="11" t="s">
        <v>9</v>
      </c>
      <c r="G28" s="6" t="str">
        <f t="shared" si="0"/>
        <v>55+</v>
      </c>
    </row>
    <row r="29" spans="1:7" x14ac:dyDescent="0.25">
      <c r="A29" s="9" t="s">
        <v>43</v>
      </c>
      <c r="B29" s="6">
        <v>50</v>
      </c>
      <c r="C29" s="6" t="s">
        <v>14</v>
      </c>
      <c r="D29" s="6" t="s">
        <v>32</v>
      </c>
      <c r="E29" s="6">
        <v>56182</v>
      </c>
      <c r="F29" s="11" t="s">
        <v>20</v>
      </c>
      <c r="G29" s="6" t="str">
        <f t="shared" si="0"/>
        <v>45-54</v>
      </c>
    </row>
    <row r="30" spans="1:7" x14ac:dyDescent="0.25">
      <c r="A30" s="9" t="s">
        <v>44</v>
      </c>
      <c r="B30" s="6">
        <v>57</v>
      </c>
      <c r="C30" s="6" t="s">
        <v>7</v>
      </c>
      <c r="D30" s="6" t="s">
        <v>11</v>
      </c>
      <c r="E30" s="6">
        <v>62421</v>
      </c>
      <c r="F30" s="11" t="s">
        <v>9</v>
      </c>
      <c r="G30" s="6" t="str">
        <f t="shared" si="0"/>
        <v>55+</v>
      </c>
    </row>
    <row r="31" spans="1:7" x14ac:dyDescent="0.25">
      <c r="A31" s="9" t="s">
        <v>45</v>
      </c>
      <c r="B31" s="6">
        <v>36</v>
      </c>
      <c r="C31" s="6" t="s">
        <v>7</v>
      </c>
      <c r="D31" s="6" t="s">
        <v>32</v>
      </c>
      <c r="E31" s="6">
        <v>53184</v>
      </c>
      <c r="F31" s="11" t="s">
        <v>9</v>
      </c>
      <c r="G31" s="6" t="str">
        <f t="shared" si="0"/>
        <v>35-44</v>
      </c>
    </row>
    <row r="32" spans="1:7" x14ac:dyDescent="0.25">
      <c r="A32" s="9" t="s">
        <v>46</v>
      </c>
      <c r="B32" s="6">
        <v>53</v>
      </c>
      <c r="C32" s="6" t="s">
        <v>7</v>
      </c>
      <c r="D32" s="6" t="s">
        <v>11</v>
      </c>
      <c r="E32" s="6">
        <v>65934</v>
      </c>
      <c r="F32" s="11" t="s">
        <v>9</v>
      </c>
      <c r="G32" s="6" t="str">
        <f t="shared" si="0"/>
        <v>45-54</v>
      </c>
    </row>
    <row r="33" spans="1:7" x14ac:dyDescent="0.25">
      <c r="A33" s="9" t="s">
        <v>47</v>
      </c>
      <c r="B33" s="6">
        <v>52</v>
      </c>
      <c r="C33" s="6" t="s">
        <v>7</v>
      </c>
      <c r="D33" s="6" t="s">
        <v>18</v>
      </c>
      <c r="E33" s="6">
        <v>81635</v>
      </c>
      <c r="F33" s="11" t="s">
        <v>20</v>
      </c>
      <c r="G33" s="6" t="str">
        <f t="shared" si="0"/>
        <v>45-54</v>
      </c>
    </row>
    <row r="34" spans="1:7" x14ac:dyDescent="0.25">
      <c r="A34" s="9" t="s">
        <v>48</v>
      </c>
      <c r="B34" s="6">
        <v>49</v>
      </c>
      <c r="C34" s="6" t="s">
        <v>14</v>
      </c>
      <c r="D34" s="6" t="s">
        <v>18</v>
      </c>
      <c r="E34" s="6">
        <v>79260</v>
      </c>
      <c r="F34" s="11" t="s">
        <v>20</v>
      </c>
      <c r="G34" s="6" t="str">
        <f t="shared" si="0"/>
        <v>45-54</v>
      </c>
    </row>
    <row r="35" spans="1:7" x14ac:dyDescent="0.25">
      <c r="A35" s="9" t="s">
        <v>49</v>
      </c>
      <c r="B35" s="6">
        <v>28</v>
      </c>
      <c r="C35" s="6" t="s">
        <v>7</v>
      </c>
      <c r="D35" s="6" t="s">
        <v>18</v>
      </c>
      <c r="E35" s="6">
        <v>66989</v>
      </c>
      <c r="F35" s="11" t="s">
        <v>20</v>
      </c>
      <c r="G35" s="6" t="str">
        <f t="shared" si="0"/>
        <v>25-34</v>
      </c>
    </row>
    <row r="36" spans="1:7" x14ac:dyDescent="0.25">
      <c r="A36" s="9" t="s">
        <v>50</v>
      </c>
      <c r="B36" s="6">
        <v>34</v>
      </c>
      <c r="C36" s="6" t="s">
        <v>7</v>
      </c>
      <c r="D36" s="6" t="s">
        <v>11</v>
      </c>
      <c r="E36" s="6">
        <v>54866</v>
      </c>
      <c r="F36" s="11" t="s">
        <v>9</v>
      </c>
      <c r="G36" s="6" t="str">
        <f t="shared" si="0"/>
        <v>25-34</v>
      </c>
    </row>
    <row r="37" spans="1:7" x14ac:dyDescent="0.25">
      <c r="A37" s="9" t="s">
        <v>51</v>
      </c>
      <c r="B37" s="6">
        <v>37</v>
      </c>
      <c r="C37" s="6" t="s">
        <v>7</v>
      </c>
      <c r="D37" s="6" t="s">
        <v>18</v>
      </c>
      <c r="E37" s="6">
        <v>74907</v>
      </c>
      <c r="F37" s="11" t="s">
        <v>20</v>
      </c>
      <c r="G37" s="6" t="str">
        <f t="shared" si="0"/>
        <v>35-44</v>
      </c>
    </row>
    <row r="38" spans="1:7" x14ac:dyDescent="0.25">
      <c r="A38" s="9" t="s">
        <v>52</v>
      </c>
      <c r="B38" s="6">
        <v>56</v>
      </c>
      <c r="C38" s="6" t="s">
        <v>7</v>
      </c>
      <c r="D38" s="6" t="s">
        <v>32</v>
      </c>
      <c r="E38" s="6">
        <v>77137</v>
      </c>
      <c r="F38" s="11" t="s">
        <v>9</v>
      </c>
      <c r="G38" s="6" t="str">
        <f t="shared" si="0"/>
        <v>55+</v>
      </c>
    </row>
    <row r="39" spans="1:7" x14ac:dyDescent="0.25">
      <c r="A39" s="9" t="s">
        <v>53</v>
      </c>
      <c r="B39" s="6">
        <v>53</v>
      </c>
      <c r="C39" s="6" t="s">
        <v>14</v>
      </c>
      <c r="D39" s="6" t="s">
        <v>23</v>
      </c>
      <c r="E39" s="6">
        <v>94021</v>
      </c>
      <c r="F39" s="11" t="s">
        <v>9</v>
      </c>
      <c r="G39" s="6" t="str">
        <f t="shared" si="0"/>
        <v>45-54</v>
      </c>
    </row>
    <row r="40" spans="1:7" x14ac:dyDescent="0.25">
      <c r="A40" s="9" t="s">
        <v>54</v>
      </c>
      <c r="B40" s="6">
        <v>22</v>
      </c>
      <c r="C40" s="6" t="s">
        <v>14</v>
      </c>
      <c r="D40" s="6" t="s">
        <v>16</v>
      </c>
      <c r="E40" s="6">
        <v>44281</v>
      </c>
      <c r="F40" s="11" t="s">
        <v>9</v>
      </c>
      <c r="G40" s="6" t="str">
        <f t="shared" si="0"/>
        <v>&lt;25</v>
      </c>
    </row>
    <row r="41" spans="1:7" x14ac:dyDescent="0.25">
      <c r="A41" s="9" t="s">
        <v>55</v>
      </c>
      <c r="B41" s="6">
        <v>57</v>
      </c>
      <c r="C41" s="6" t="s">
        <v>14</v>
      </c>
      <c r="D41" s="6" t="s">
        <v>23</v>
      </c>
      <c r="E41" s="6">
        <v>80064</v>
      </c>
      <c r="F41" s="11" t="s">
        <v>20</v>
      </c>
      <c r="G41" s="6" t="str">
        <f t="shared" si="0"/>
        <v>55+</v>
      </c>
    </row>
    <row r="42" spans="1:7" x14ac:dyDescent="0.25">
      <c r="A42" s="9" t="s">
        <v>56</v>
      </c>
      <c r="B42" s="6">
        <v>56</v>
      </c>
      <c r="C42" s="6" t="s">
        <v>7</v>
      </c>
      <c r="D42" s="6" t="s">
        <v>8</v>
      </c>
      <c r="E42" s="6">
        <v>55332</v>
      </c>
      <c r="F42" s="11" t="s">
        <v>9</v>
      </c>
      <c r="G42" s="6" t="str">
        <f t="shared" si="0"/>
        <v>55+</v>
      </c>
    </row>
    <row r="43" spans="1:7" x14ac:dyDescent="0.25">
      <c r="A43" s="9" t="s">
        <v>57</v>
      </c>
      <c r="B43" s="6">
        <v>55</v>
      </c>
      <c r="C43" s="6" t="s">
        <v>7</v>
      </c>
      <c r="D43" s="6" t="s">
        <v>32</v>
      </c>
      <c r="E43" s="6">
        <v>70693</v>
      </c>
      <c r="F43" s="11" t="s">
        <v>9</v>
      </c>
      <c r="G43" s="6" t="str">
        <f t="shared" si="0"/>
        <v>55+</v>
      </c>
    </row>
    <row r="44" spans="1:7" x14ac:dyDescent="0.25">
      <c r="A44" s="9" t="s">
        <v>58</v>
      </c>
      <c r="B44" s="6">
        <v>60</v>
      </c>
      <c r="C44" s="6" t="s">
        <v>7</v>
      </c>
      <c r="D44" s="6" t="s">
        <v>8</v>
      </c>
      <c r="E44" s="6">
        <v>70804</v>
      </c>
      <c r="F44" s="11" t="s">
        <v>9</v>
      </c>
      <c r="G44" s="6" t="str">
        <f t="shared" si="0"/>
        <v>55+</v>
      </c>
    </row>
    <row r="45" spans="1:7" x14ac:dyDescent="0.25">
      <c r="A45" s="9" t="s">
        <v>59</v>
      </c>
      <c r="B45" s="6">
        <v>58</v>
      </c>
      <c r="C45" s="6" t="s">
        <v>7</v>
      </c>
      <c r="D45" s="6" t="s">
        <v>11</v>
      </c>
      <c r="E45" s="6">
        <v>74056</v>
      </c>
      <c r="F45" s="11" t="s">
        <v>9</v>
      </c>
      <c r="G45" s="6" t="str">
        <f t="shared" si="0"/>
        <v>55+</v>
      </c>
    </row>
    <row r="46" spans="1:7" x14ac:dyDescent="0.25">
      <c r="A46" s="9" t="s">
        <v>60</v>
      </c>
      <c r="B46" s="6">
        <v>59</v>
      </c>
      <c r="C46" s="6" t="s">
        <v>14</v>
      </c>
      <c r="D46" s="6" t="s">
        <v>16</v>
      </c>
      <c r="E46" s="6">
        <v>62308</v>
      </c>
      <c r="F46" s="11" t="s">
        <v>9</v>
      </c>
      <c r="G46" s="6" t="str">
        <f t="shared" si="0"/>
        <v>55+</v>
      </c>
    </row>
    <row r="47" spans="1:7" x14ac:dyDescent="0.25">
      <c r="A47" s="9" t="s">
        <v>61</v>
      </c>
      <c r="B47" s="6">
        <v>47</v>
      </c>
      <c r="C47" s="6" t="s">
        <v>7</v>
      </c>
      <c r="D47" s="6" t="s">
        <v>8</v>
      </c>
      <c r="E47" s="6">
        <v>57726</v>
      </c>
      <c r="F47" s="11" t="s">
        <v>9</v>
      </c>
      <c r="G47" s="6" t="str">
        <f t="shared" si="0"/>
        <v>45-54</v>
      </c>
    </row>
    <row r="48" spans="1:7" x14ac:dyDescent="0.25">
      <c r="A48" s="9" t="s">
        <v>62</v>
      </c>
      <c r="B48" s="6">
        <v>26</v>
      </c>
      <c r="C48" s="6" t="s">
        <v>7</v>
      </c>
      <c r="D48" s="6" t="s">
        <v>18</v>
      </c>
      <c r="E48" s="6">
        <v>63346</v>
      </c>
      <c r="F48" s="11" t="s">
        <v>20</v>
      </c>
      <c r="G48" s="6" t="str">
        <f t="shared" si="0"/>
        <v>25-34</v>
      </c>
    </row>
    <row r="49" spans="1:7" x14ac:dyDescent="0.25">
      <c r="A49" s="9" t="s">
        <v>63</v>
      </c>
      <c r="B49" s="6">
        <v>56</v>
      </c>
      <c r="C49" s="6" t="s">
        <v>7</v>
      </c>
      <c r="D49" s="6" t="s">
        <v>11</v>
      </c>
      <c r="E49" s="6">
        <v>69574</v>
      </c>
      <c r="F49" s="11" t="s">
        <v>9</v>
      </c>
      <c r="G49" s="6" t="str">
        <f t="shared" si="0"/>
        <v>55+</v>
      </c>
    </row>
    <row r="50" spans="1:7" x14ac:dyDescent="0.25">
      <c r="A50" s="9" t="s">
        <v>64</v>
      </c>
      <c r="B50" s="6">
        <v>37</v>
      </c>
      <c r="C50" s="6" t="s">
        <v>14</v>
      </c>
      <c r="D50" s="6" t="s">
        <v>16</v>
      </c>
      <c r="E50" s="6">
        <v>51853</v>
      </c>
      <c r="F50" s="11" t="s">
        <v>9</v>
      </c>
      <c r="G50" s="6" t="str">
        <f t="shared" si="0"/>
        <v>35-44</v>
      </c>
    </row>
    <row r="51" spans="1:7" x14ac:dyDescent="0.25">
      <c r="A51" s="9" t="s">
        <v>65</v>
      </c>
      <c r="B51" s="6">
        <v>55</v>
      </c>
      <c r="C51" s="6" t="s">
        <v>7</v>
      </c>
      <c r="D51" s="6" t="s">
        <v>8</v>
      </c>
      <c r="E51" s="6">
        <v>65077</v>
      </c>
      <c r="F51" s="11" t="s">
        <v>9</v>
      </c>
      <c r="G51" s="6" t="str">
        <f t="shared" si="0"/>
        <v>55+</v>
      </c>
    </row>
    <row r="52" spans="1:7" x14ac:dyDescent="0.25">
      <c r="A52" s="9" t="s">
        <v>66</v>
      </c>
      <c r="B52" s="6">
        <v>30</v>
      </c>
      <c r="C52" s="6" t="s">
        <v>14</v>
      </c>
      <c r="D52" s="6" t="s">
        <v>32</v>
      </c>
      <c r="E52" s="6">
        <v>53698</v>
      </c>
      <c r="F52" s="11" t="s">
        <v>9</v>
      </c>
      <c r="G52" s="6" t="str">
        <f t="shared" si="0"/>
        <v>25-34</v>
      </c>
    </row>
    <row r="53" spans="1:7" x14ac:dyDescent="0.25">
      <c r="A53" s="9" t="s">
        <v>67</v>
      </c>
      <c r="B53" s="6">
        <v>40</v>
      </c>
      <c r="C53" s="6" t="s">
        <v>7</v>
      </c>
      <c r="D53" s="6" t="s">
        <v>8</v>
      </c>
      <c r="E53" s="6">
        <v>51785</v>
      </c>
      <c r="F53" s="11" t="s">
        <v>9</v>
      </c>
      <c r="G53" s="6" t="str">
        <f t="shared" si="0"/>
        <v>35-44</v>
      </c>
    </row>
    <row r="54" spans="1:7" x14ac:dyDescent="0.25">
      <c r="A54" s="9" t="s">
        <v>68</v>
      </c>
      <c r="B54" s="6">
        <v>54</v>
      </c>
      <c r="C54" s="6" t="s">
        <v>14</v>
      </c>
      <c r="D54" s="6" t="s">
        <v>16</v>
      </c>
      <c r="E54" s="6">
        <v>72054</v>
      </c>
      <c r="F54" s="11" t="s">
        <v>20</v>
      </c>
      <c r="G54" s="6" t="str">
        <f t="shared" si="0"/>
        <v>45-54</v>
      </c>
    </row>
    <row r="55" spans="1:7" x14ac:dyDescent="0.25">
      <c r="A55" s="9" t="s">
        <v>69</v>
      </c>
      <c r="B55" s="6">
        <v>49</v>
      </c>
      <c r="C55" s="6" t="s">
        <v>14</v>
      </c>
      <c r="D55" s="6" t="s">
        <v>32</v>
      </c>
      <c r="E55" s="6">
        <v>58016</v>
      </c>
      <c r="F55" s="11" t="s">
        <v>9</v>
      </c>
      <c r="G55" s="6" t="str">
        <f t="shared" si="0"/>
        <v>45-54</v>
      </c>
    </row>
    <row r="56" spans="1:7" x14ac:dyDescent="0.25">
      <c r="A56" s="9" t="s">
        <v>70</v>
      </c>
      <c r="B56" s="6">
        <v>38</v>
      </c>
      <c r="C56" s="6" t="s">
        <v>7</v>
      </c>
      <c r="D56" s="6" t="s">
        <v>8</v>
      </c>
      <c r="E56" s="6">
        <v>51580</v>
      </c>
      <c r="F56" s="11" t="s">
        <v>9</v>
      </c>
      <c r="G56" s="6" t="str">
        <f t="shared" si="0"/>
        <v>35-44</v>
      </c>
    </row>
    <row r="57" spans="1:7" x14ac:dyDescent="0.25">
      <c r="A57" s="9" t="s">
        <v>71</v>
      </c>
      <c r="B57" s="6">
        <v>29</v>
      </c>
      <c r="C57" s="6" t="s">
        <v>7</v>
      </c>
      <c r="D57" s="6" t="s">
        <v>8</v>
      </c>
      <c r="E57" s="6">
        <v>46328</v>
      </c>
      <c r="F57" s="11" t="s">
        <v>9</v>
      </c>
      <c r="G57" s="6" t="str">
        <f t="shared" si="0"/>
        <v>25-34</v>
      </c>
    </row>
    <row r="58" spans="1:7" x14ac:dyDescent="0.25">
      <c r="A58" s="9" t="s">
        <v>72</v>
      </c>
      <c r="B58" s="6">
        <v>59</v>
      </c>
      <c r="C58" s="6" t="s">
        <v>7</v>
      </c>
      <c r="D58" s="6" t="s">
        <v>18</v>
      </c>
      <c r="E58" s="6">
        <v>75623</v>
      </c>
      <c r="F58" s="11" t="s">
        <v>9</v>
      </c>
      <c r="G58" s="6" t="str">
        <f t="shared" si="0"/>
        <v>55+</v>
      </c>
    </row>
    <row r="59" spans="1:7" x14ac:dyDescent="0.25">
      <c r="A59" s="9" t="s">
        <v>73</v>
      </c>
      <c r="B59" s="6">
        <v>24</v>
      </c>
      <c r="C59" s="6" t="s">
        <v>14</v>
      </c>
      <c r="D59" s="6" t="s">
        <v>23</v>
      </c>
      <c r="E59" s="6">
        <v>67817</v>
      </c>
      <c r="F59" s="11" t="s">
        <v>9</v>
      </c>
      <c r="G59" s="6" t="str">
        <f t="shared" si="0"/>
        <v>&lt;25</v>
      </c>
    </row>
    <row r="60" spans="1:7" x14ac:dyDescent="0.25">
      <c r="A60" s="9" t="s">
        <v>74</v>
      </c>
      <c r="B60" s="6">
        <v>57</v>
      </c>
      <c r="C60" s="6" t="s">
        <v>14</v>
      </c>
      <c r="D60" s="6" t="s">
        <v>11</v>
      </c>
      <c r="E60" s="6">
        <v>78521</v>
      </c>
      <c r="F60" s="11" t="s">
        <v>9</v>
      </c>
      <c r="G60" s="6" t="str">
        <f t="shared" si="0"/>
        <v>55+</v>
      </c>
    </row>
    <row r="61" spans="1:7" x14ac:dyDescent="0.25">
      <c r="A61" s="9" t="s">
        <v>75</v>
      </c>
      <c r="B61" s="6">
        <v>32</v>
      </c>
      <c r="C61" s="6" t="s">
        <v>7</v>
      </c>
      <c r="D61" s="6" t="s">
        <v>18</v>
      </c>
      <c r="E61" s="6">
        <v>66016</v>
      </c>
      <c r="F61" s="11" t="s">
        <v>9</v>
      </c>
      <c r="G61" s="6" t="str">
        <f t="shared" si="0"/>
        <v>25-34</v>
      </c>
    </row>
    <row r="62" spans="1:7" x14ac:dyDescent="0.25">
      <c r="A62" s="9" t="s">
        <v>76</v>
      </c>
      <c r="B62" s="6">
        <v>48</v>
      </c>
      <c r="C62" s="6" t="s">
        <v>7</v>
      </c>
      <c r="D62" s="6" t="s">
        <v>16</v>
      </c>
      <c r="E62" s="6">
        <v>56079</v>
      </c>
      <c r="F62" s="11" t="s">
        <v>9</v>
      </c>
      <c r="G62" s="6" t="str">
        <f t="shared" si="0"/>
        <v>45-54</v>
      </c>
    </row>
    <row r="63" spans="1:7" x14ac:dyDescent="0.25">
      <c r="A63" s="9" t="s">
        <v>77</v>
      </c>
      <c r="B63" s="6">
        <v>24</v>
      </c>
      <c r="C63" s="6" t="s">
        <v>14</v>
      </c>
      <c r="D63" s="6" t="s">
        <v>23</v>
      </c>
      <c r="E63" s="6">
        <v>69347</v>
      </c>
      <c r="F63" s="11" t="s">
        <v>9</v>
      </c>
      <c r="G63" s="6" t="str">
        <f t="shared" si="0"/>
        <v>&lt;25</v>
      </c>
    </row>
    <row r="64" spans="1:7" x14ac:dyDescent="0.25">
      <c r="A64" s="9" t="s">
        <v>78</v>
      </c>
      <c r="B64" s="6">
        <v>36</v>
      </c>
      <c r="C64" s="6" t="s">
        <v>7</v>
      </c>
      <c r="D64" s="6" t="s">
        <v>32</v>
      </c>
      <c r="E64" s="6">
        <v>54407</v>
      </c>
      <c r="F64" s="11" t="s">
        <v>9</v>
      </c>
      <c r="G64" s="6" t="str">
        <f t="shared" si="0"/>
        <v>35-44</v>
      </c>
    </row>
    <row r="65" spans="1:7" x14ac:dyDescent="0.25">
      <c r="A65" s="9" t="s">
        <v>79</v>
      </c>
      <c r="B65" s="6">
        <v>26</v>
      </c>
      <c r="C65" s="6" t="s">
        <v>14</v>
      </c>
      <c r="D65" s="6" t="s">
        <v>16</v>
      </c>
      <c r="E65" s="6">
        <v>44080</v>
      </c>
      <c r="F65" s="11" t="s">
        <v>9</v>
      </c>
      <c r="G65" s="6" t="str">
        <f t="shared" si="0"/>
        <v>25-34</v>
      </c>
    </row>
    <row r="66" spans="1:7" x14ac:dyDescent="0.25">
      <c r="A66" s="9" t="s">
        <v>80</v>
      </c>
      <c r="B66" s="6">
        <v>56</v>
      </c>
      <c r="C66" s="6" t="s">
        <v>14</v>
      </c>
      <c r="D66" s="6" t="s">
        <v>32</v>
      </c>
      <c r="E66" s="6">
        <v>64324</v>
      </c>
      <c r="F66" s="11" t="s">
        <v>9</v>
      </c>
      <c r="G66" s="6" t="str">
        <f t="shared" ref="G66:G129" si="1">IF(B66&lt;25,"&lt;25",IF(B66&lt;=34,"25-34",IF(B66&lt;=44,"35-44",IF(B66&lt;=54,"45-54","55+"))))</f>
        <v>55+</v>
      </c>
    </row>
    <row r="67" spans="1:7" x14ac:dyDescent="0.25">
      <c r="A67" s="9" t="s">
        <v>81</v>
      </c>
      <c r="B67" s="6">
        <v>38</v>
      </c>
      <c r="C67" s="6" t="s">
        <v>7</v>
      </c>
      <c r="D67" s="6" t="s">
        <v>32</v>
      </c>
      <c r="E67" s="6">
        <v>54938</v>
      </c>
      <c r="F67" s="11" t="s">
        <v>9</v>
      </c>
      <c r="G67" s="6" t="str">
        <f t="shared" si="1"/>
        <v>35-44</v>
      </c>
    </row>
    <row r="68" spans="1:7" x14ac:dyDescent="0.25">
      <c r="A68" s="9" t="s">
        <v>82</v>
      </c>
      <c r="B68" s="6">
        <v>49</v>
      </c>
      <c r="C68" s="6" t="s">
        <v>7</v>
      </c>
      <c r="D68" s="6" t="s">
        <v>18</v>
      </c>
      <c r="E68" s="6">
        <v>80463</v>
      </c>
      <c r="F68" s="11" t="s">
        <v>20</v>
      </c>
      <c r="G68" s="6" t="str">
        <f t="shared" si="1"/>
        <v>45-54</v>
      </c>
    </row>
    <row r="69" spans="1:7" x14ac:dyDescent="0.25">
      <c r="A69" s="9" t="s">
        <v>83</v>
      </c>
      <c r="B69" s="6">
        <v>49</v>
      </c>
      <c r="C69" s="6" t="s">
        <v>7</v>
      </c>
      <c r="D69" s="6" t="s">
        <v>11</v>
      </c>
      <c r="E69" s="6">
        <v>71602</v>
      </c>
      <c r="F69" s="11" t="s">
        <v>9</v>
      </c>
      <c r="G69" s="6" t="str">
        <f t="shared" si="1"/>
        <v>45-54</v>
      </c>
    </row>
    <row r="70" spans="1:7" x14ac:dyDescent="0.25">
      <c r="A70" s="9" t="s">
        <v>84</v>
      </c>
      <c r="B70" s="6">
        <v>34</v>
      </c>
      <c r="C70" s="6" t="s">
        <v>14</v>
      </c>
      <c r="D70" s="6" t="s">
        <v>18</v>
      </c>
      <c r="E70" s="6">
        <v>66533</v>
      </c>
      <c r="F70" s="11" t="s">
        <v>9</v>
      </c>
      <c r="G70" s="6" t="str">
        <f t="shared" si="1"/>
        <v>25-34</v>
      </c>
    </row>
    <row r="71" spans="1:7" x14ac:dyDescent="0.25">
      <c r="A71" s="9" t="s">
        <v>85</v>
      </c>
      <c r="B71" s="6">
        <v>42</v>
      </c>
      <c r="C71" s="6" t="s">
        <v>7</v>
      </c>
      <c r="D71" s="6" t="s">
        <v>8</v>
      </c>
      <c r="E71" s="6">
        <v>57057</v>
      </c>
      <c r="F71" s="11" t="s">
        <v>9</v>
      </c>
      <c r="G71" s="6" t="str">
        <f t="shared" si="1"/>
        <v>35-44</v>
      </c>
    </row>
    <row r="72" spans="1:7" x14ac:dyDescent="0.25">
      <c r="A72" s="9" t="s">
        <v>86</v>
      </c>
      <c r="B72" s="6">
        <v>42</v>
      </c>
      <c r="C72" s="6" t="s">
        <v>14</v>
      </c>
      <c r="D72" s="6" t="s">
        <v>8</v>
      </c>
      <c r="E72" s="6">
        <v>47974</v>
      </c>
      <c r="F72" s="11" t="s">
        <v>9</v>
      </c>
      <c r="G72" s="6" t="str">
        <f t="shared" si="1"/>
        <v>35-44</v>
      </c>
    </row>
    <row r="73" spans="1:7" x14ac:dyDescent="0.25">
      <c r="A73" s="9" t="s">
        <v>87</v>
      </c>
      <c r="B73" s="6">
        <v>46</v>
      </c>
      <c r="C73" s="6" t="s">
        <v>7</v>
      </c>
      <c r="D73" s="6" t="s">
        <v>11</v>
      </c>
      <c r="E73" s="6">
        <v>63677</v>
      </c>
      <c r="F73" s="11" t="s">
        <v>9</v>
      </c>
      <c r="G73" s="6" t="str">
        <f t="shared" si="1"/>
        <v>45-54</v>
      </c>
    </row>
    <row r="74" spans="1:7" x14ac:dyDescent="0.25">
      <c r="A74" s="9" t="s">
        <v>88</v>
      </c>
      <c r="B74" s="6">
        <v>41</v>
      </c>
      <c r="C74" s="6" t="s">
        <v>14</v>
      </c>
      <c r="D74" s="6" t="s">
        <v>23</v>
      </c>
      <c r="E74" s="6">
        <v>77323</v>
      </c>
      <c r="F74" s="11" t="s">
        <v>9</v>
      </c>
      <c r="G74" s="6" t="str">
        <f t="shared" si="1"/>
        <v>35-44</v>
      </c>
    </row>
    <row r="75" spans="1:7" x14ac:dyDescent="0.25">
      <c r="A75" s="9" t="s">
        <v>89</v>
      </c>
      <c r="B75" s="6">
        <v>51</v>
      </c>
      <c r="C75" s="6" t="s">
        <v>14</v>
      </c>
      <c r="D75" s="6" t="s">
        <v>18</v>
      </c>
      <c r="E75" s="6">
        <v>81485</v>
      </c>
      <c r="F75" s="11" t="s">
        <v>9</v>
      </c>
      <c r="G75" s="6" t="str">
        <f t="shared" si="1"/>
        <v>45-54</v>
      </c>
    </row>
    <row r="76" spans="1:7" x14ac:dyDescent="0.25">
      <c r="A76" s="9" t="s">
        <v>90</v>
      </c>
      <c r="B76" s="6">
        <v>32</v>
      </c>
      <c r="C76" s="6" t="s">
        <v>7</v>
      </c>
      <c r="D76" s="6" t="s">
        <v>16</v>
      </c>
      <c r="E76" s="6">
        <v>49640</v>
      </c>
      <c r="F76" s="11" t="s">
        <v>9</v>
      </c>
      <c r="G76" s="6" t="str">
        <f t="shared" si="1"/>
        <v>25-34</v>
      </c>
    </row>
    <row r="77" spans="1:7" x14ac:dyDescent="0.25">
      <c r="A77" s="9" t="s">
        <v>91</v>
      </c>
      <c r="B77" s="6">
        <v>37</v>
      </c>
      <c r="C77" s="6" t="s">
        <v>14</v>
      </c>
      <c r="D77" s="6" t="s">
        <v>23</v>
      </c>
      <c r="E77" s="6">
        <v>74228</v>
      </c>
      <c r="F77" s="11" t="s">
        <v>20</v>
      </c>
      <c r="G77" s="6" t="str">
        <f t="shared" si="1"/>
        <v>35-44</v>
      </c>
    </row>
    <row r="78" spans="1:7" x14ac:dyDescent="0.25">
      <c r="A78" s="9" t="s">
        <v>92</v>
      </c>
      <c r="B78" s="6">
        <v>52</v>
      </c>
      <c r="C78" s="6" t="s">
        <v>7</v>
      </c>
      <c r="D78" s="6" t="s">
        <v>18</v>
      </c>
      <c r="E78" s="6">
        <v>79254</v>
      </c>
      <c r="F78" s="11" t="s">
        <v>9</v>
      </c>
      <c r="G78" s="6" t="str">
        <f t="shared" si="1"/>
        <v>45-54</v>
      </c>
    </row>
    <row r="79" spans="1:7" x14ac:dyDescent="0.25">
      <c r="A79" s="9" t="s">
        <v>93</v>
      </c>
      <c r="B79" s="6">
        <v>46</v>
      </c>
      <c r="C79" s="6" t="s">
        <v>14</v>
      </c>
      <c r="D79" s="6" t="s">
        <v>18</v>
      </c>
      <c r="E79" s="6">
        <v>73776</v>
      </c>
      <c r="F79" s="11" t="s">
        <v>20</v>
      </c>
      <c r="G79" s="6" t="str">
        <f t="shared" si="1"/>
        <v>45-54</v>
      </c>
    </row>
    <row r="80" spans="1:7" x14ac:dyDescent="0.25">
      <c r="A80" s="9" t="s">
        <v>94</v>
      </c>
      <c r="B80" s="6">
        <v>28</v>
      </c>
      <c r="C80" s="6" t="s">
        <v>14</v>
      </c>
      <c r="D80" s="6" t="s">
        <v>23</v>
      </c>
      <c r="E80" s="6">
        <v>71591</v>
      </c>
      <c r="F80" s="11" t="s">
        <v>9</v>
      </c>
      <c r="G80" s="6" t="str">
        <f t="shared" si="1"/>
        <v>25-34</v>
      </c>
    </row>
    <row r="81" spans="1:7" x14ac:dyDescent="0.25">
      <c r="A81" s="9" t="s">
        <v>95</v>
      </c>
      <c r="B81" s="6">
        <v>25</v>
      </c>
      <c r="C81" s="6" t="s">
        <v>7</v>
      </c>
      <c r="D81" s="6" t="s">
        <v>32</v>
      </c>
      <c r="E81" s="6">
        <v>49296</v>
      </c>
      <c r="F81" s="11" t="s">
        <v>9</v>
      </c>
      <c r="G81" s="6" t="str">
        <f t="shared" si="1"/>
        <v>25-34</v>
      </c>
    </row>
    <row r="82" spans="1:7" x14ac:dyDescent="0.25">
      <c r="A82" s="9" t="s">
        <v>96</v>
      </c>
      <c r="B82" s="6">
        <v>57</v>
      </c>
      <c r="C82" s="6" t="s">
        <v>14</v>
      </c>
      <c r="D82" s="6" t="s">
        <v>18</v>
      </c>
      <c r="E82" s="6">
        <v>86475</v>
      </c>
      <c r="F82" s="11" t="s">
        <v>9</v>
      </c>
      <c r="G82" s="6" t="str">
        <f t="shared" si="1"/>
        <v>55+</v>
      </c>
    </row>
    <row r="83" spans="1:7" x14ac:dyDescent="0.25">
      <c r="A83" s="9" t="s">
        <v>97</v>
      </c>
      <c r="B83" s="6">
        <v>57</v>
      </c>
      <c r="C83" s="6" t="s">
        <v>14</v>
      </c>
      <c r="D83" s="6" t="s">
        <v>23</v>
      </c>
      <c r="E83" s="6">
        <v>91811</v>
      </c>
      <c r="F83" s="11" t="s">
        <v>9</v>
      </c>
      <c r="G83" s="6" t="str">
        <f t="shared" si="1"/>
        <v>55+</v>
      </c>
    </row>
    <row r="84" spans="1:7" x14ac:dyDescent="0.25">
      <c r="A84" s="9" t="s">
        <v>98</v>
      </c>
      <c r="B84" s="6">
        <v>37</v>
      </c>
      <c r="C84" s="6" t="s">
        <v>14</v>
      </c>
      <c r="D84" s="6" t="s">
        <v>11</v>
      </c>
      <c r="E84" s="6">
        <v>55548</v>
      </c>
      <c r="F84" s="11" t="s">
        <v>9</v>
      </c>
      <c r="G84" s="6" t="str">
        <f t="shared" si="1"/>
        <v>35-44</v>
      </c>
    </row>
    <row r="85" spans="1:7" x14ac:dyDescent="0.25">
      <c r="A85" s="9" t="s">
        <v>99</v>
      </c>
      <c r="B85" s="6">
        <v>40</v>
      </c>
      <c r="C85" s="6" t="s">
        <v>7</v>
      </c>
      <c r="D85" s="6" t="s">
        <v>16</v>
      </c>
      <c r="E85" s="6">
        <v>55366</v>
      </c>
      <c r="F85" s="11" t="s">
        <v>20</v>
      </c>
      <c r="G85" s="6" t="str">
        <f t="shared" si="1"/>
        <v>35-44</v>
      </c>
    </row>
    <row r="86" spans="1:7" x14ac:dyDescent="0.25">
      <c r="A86" s="9" t="s">
        <v>100</v>
      </c>
      <c r="B86" s="6">
        <v>31</v>
      </c>
      <c r="C86" s="6" t="s">
        <v>7</v>
      </c>
      <c r="D86" s="6" t="s">
        <v>18</v>
      </c>
      <c r="E86" s="6">
        <v>68374</v>
      </c>
      <c r="F86" s="11" t="s">
        <v>20</v>
      </c>
      <c r="G86" s="6" t="str">
        <f t="shared" si="1"/>
        <v>25-34</v>
      </c>
    </row>
    <row r="87" spans="1:7" x14ac:dyDescent="0.25">
      <c r="A87" s="9" t="s">
        <v>101</v>
      </c>
      <c r="B87" s="6">
        <v>48</v>
      </c>
      <c r="C87" s="6" t="s">
        <v>14</v>
      </c>
      <c r="D87" s="6" t="s">
        <v>11</v>
      </c>
      <c r="E87" s="6">
        <v>60955</v>
      </c>
      <c r="F87" s="11" t="s">
        <v>9</v>
      </c>
      <c r="G87" s="6" t="str">
        <f t="shared" si="1"/>
        <v>45-54</v>
      </c>
    </row>
    <row r="88" spans="1:7" x14ac:dyDescent="0.25">
      <c r="A88" s="9" t="s">
        <v>102</v>
      </c>
      <c r="B88" s="6">
        <v>46</v>
      </c>
      <c r="C88" s="6" t="s">
        <v>7</v>
      </c>
      <c r="D88" s="6" t="s">
        <v>11</v>
      </c>
      <c r="E88" s="6">
        <v>58211</v>
      </c>
      <c r="F88" s="11" t="s">
        <v>9</v>
      </c>
      <c r="G88" s="6" t="str">
        <f t="shared" si="1"/>
        <v>45-54</v>
      </c>
    </row>
    <row r="89" spans="1:7" x14ac:dyDescent="0.25">
      <c r="A89" s="9" t="s">
        <v>103</v>
      </c>
      <c r="B89" s="6">
        <v>46</v>
      </c>
      <c r="C89" s="6" t="s">
        <v>14</v>
      </c>
      <c r="D89" s="6" t="s">
        <v>11</v>
      </c>
      <c r="E89" s="6">
        <v>66939</v>
      </c>
      <c r="F89" s="11" t="s">
        <v>9</v>
      </c>
      <c r="G89" s="6" t="str">
        <f t="shared" si="1"/>
        <v>45-54</v>
      </c>
    </row>
    <row r="90" spans="1:7" x14ac:dyDescent="0.25">
      <c r="A90" s="9" t="s">
        <v>104</v>
      </c>
      <c r="B90" s="6">
        <v>36</v>
      </c>
      <c r="C90" s="6" t="s">
        <v>14</v>
      </c>
      <c r="D90" s="6" t="s">
        <v>23</v>
      </c>
      <c r="E90" s="6">
        <v>72395</v>
      </c>
      <c r="F90" s="11" t="s">
        <v>9</v>
      </c>
      <c r="G90" s="6" t="str">
        <f t="shared" si="1"/>
        <v>35-44</v>
      </c>
    </row>
    <row r="91" spans="1:7" x14ac:dyDescent="0.25">
      <c r="A91" s="9" t="s">
        <v>105</v>
      </c>
      <c r="B91" s="6">
        <v>47</v>
      </c>
      <c r="C91" s="6" t="s">
        <v>7</v>
      </c>
      <c r="D91" s="6" t="s">
        <v>18</v>
      </c>
      <c r="E91" s="6">
        <v>85340</v>
      </c>
      <c r="F91" s="11" t="s">
        <v>9</v>
      </c>
      <c r="G91" s="6" t="str">
        <f t="shared" si="1"/>
        <v>45-54</v>
      </c>
    </row>
    <row r="92" spans="1:7" x14ac:dyDescent="0.25">
      <c r="A92" s="9" t="s">
        <v>106</v>
      </c>
      <c r="B92" s="6">
        <v>47</v>
      </c>
      <c r="C92" s="6" t="s">
        <v>7</v>
      </c>
      <c r="D92" s="6" t="s">
        <v>32</v>
      </c>
      <c r="E92" s="6">
        <v>60119</v>
      </c>
      <c r="F92" s="11" t="s">
        <v>9</v>
      </c>
      <c r="G92" s="6" t="str">
        <f t="shared" si="1"/>
        <v>45-54</v>
      </c>
    </row>
    <row r="93" spans="1:7" x14ac:dyDescent="0.25">
      <c r="A93" s="9" t="s">
        <v>107</v>
      </c>
      <c r="B93" s="6">
        <v>25</v>
      </c>
      <c r="C93" s="6" t="s">
        <v>14</v>
      </c>
      <c r="D93" s="6" t="s">
        <v>18</v>
      </c>
      <c r="E93" s="6">
        <v>61328</v>
      </c>
      <c r="F93" s="11" t="s">
        <v>9</v>
      </c>
      <c r="G93" s="6" t="str">
        <f t="shared" si="1"/>
        <v>25-34</v>
      </c>
    </row>
    <row r="94" spans="1:7" x14ac:dyDescent="0.25">
      <c r="A94" s="9" t="s">
        <v>108</v>
      </c>
      <c r="B94" s="6">
        <v>46</v>
      </c>
      <c r="C94" s="6" t="s">
        <v>14</v>
      </c>
      <c r="D94" s="6" t="s">
        <v>18</v>
      </c>
      <c r="E94" s="6">
        <v>69282</v>
      </c>
      <c r="F94" s="11" t="s">
        <v>20</v>
      </c>
      <c r="G94" s="6" t="str">
        <f t="shared" si="1"/>
        <v>45-54</v>
      </c>
    </row>
    <row r="95" spans="1:7" x14ac:dyDescent="0.25">
      <c r="A95" s="9" t="s">
        <v>109</v>
      </c>
      <c r="B95" s="6">
        <v>56</v>
      </c>
      <c r="C95" s="6" t="s">
        <v>7</v>
      </c>
      <c r="D95" s="6" t="s">
        <v>16</v>
      </c>
      <c r="E95" s="6">
        <v>55960</v>
      </c>
      <c r="F95" s="11" t="s">
        <v>9</v>
      </c>
      <c r="G95" s="6" t="str">
        <f t="shared" si="1"/>
        <v>55+</v>
      </c>
    </row>
    <row r="96" spans="1:7" x14ac:dyDescent="0.25">
      <c r="A96" s="9" t="s">
        <v>110</v>
      </c>
      <c r="B96" s="6">
        <v>24</v>
      </c>
      <c r="C96" s="6" t="s">
        <v>7</v>
      </c>
      <c r="D96" s="6" t="s">
        <v>23</v>
      </c>
      <c r="E96" s="6">
        <v>62162</v>
      </c>
      <c r="F96" s="11" t="s">
        <v>20</v>
      </c>
      <c r="G96" s="6" t="str">
        <f t="shared" si="1"/>
        <v>&lt;25</v>
      </c>
    </row>
    <row r="97" spans="1:7" x14ac:dyDescent="0.25">
      <c r="A97" s="9" t="s">
        <v>111</v>
      </c>
      <c r="B97" s="6">
        <v>30</v>
      </c>
      <c r="C97" s="6" t="s">
        <v>14</v>
      </c>
      <c r="D97" s="6" t="s">
        <v>8</v>
      </c>
      <c r="E97" s="6">
        <v>47239</v>
      </c>
      <c r="F97" s="11" t="s">
        <v>9</v>
      </c>
      <c r="G97" s="6" t="str">
        <f t="shared" si="1"/>
        <v>25-34</v>
      </c>
    </row>
    <row r="98" spans="1:7" x14ac:dyDescent="0.25">
      <c r="A98" s="9" t="s">
        <v>112</v>
      </c>
      <c r="B98" s="6">
        <v>38</v>
      </c>
      <c r="C98" s="6" t="s">
        <v>14</v>
      </c>
      <c r="D98" s="6" t="s">
        <v>23</v>
      </c>
      <c r="E98" s="6">
        <v>79957</v>
      </c>
      <c r="F98" s="11" t="s">
        <v>9</v>
      </c>
      <c r="G98" s="6" t="str">
        <f t="shared" si="1"/>
        <v>35-44</v>
      </c>
    </row>
    <row r="99" spans="1:7" x14ac:dyDescent="0.25">
      <c r="A99" s="9" t="s">
        <v>113</v>
      </c>
      <c r="B99" s="6">
        <v>32</v>
      </c>
      <c r="C99" s="6" t="s">
        <v>14</v>
      </c>
      <c r="D99" s="6" t="s">
        <v>32</v>
      </c>
      <c r="E99" s="6">
        <v>55324</v>
      </c>
      <c r="F99" s="11" t="s">
        <v>9</v>
      </c>
      <c r="G99" s="6" t="str">
        <f t="shared" si="1"/>
        <v>25-34</v>
      </c>
    </row>
    <row r="100" spans="1:7" x14ac:dyDescent="0.25">
      <c r="A100" s="9" t="s">
        <v>114</v>
      </c>
      <c r="B100" s="6">
        <v>46</v>
      </c>
      <c r="C100" s="6" t="s">
        <v>14</v>
      </c>
      <c r="D100" s="6" t="s">
        <v>8</v>
      </c>
      <c r="E100" s="6">
        <v>52716</v>
      </c>
      <c r="F100" s="11" t="s">
        <v>9</v>
      </c>
      <c r="G100" s="6" t="str">
        <f t="shared" si="1"/>
        <v>45-54</v>
      </c>
    </row>
    <row r="101" spans="1:7" x14ac:dyDescent="0.25">
      <c r="A101" s="9" t="s">
        <v>115</v>
      </c>
      <c r="B101" s="6">
        <v>37</v>
      </c>
      <c r="C101" s="6" t="s">
        <v>7</v>
      </c>
      <c r="D101" s="6" t="s">
        <v>8</v>
      </c>
      <c r="E101" s="6">
        <v>54595</v>
      </c>
      <c r="F101" s="11" t="s">
        <v>9</v>
      </c>
      <c r="G101" s="6" t="str">
        <f t="shared" si="1"/>
        <v>35-44</v>
      </c>
    </row>
    <row r="102" spans="1:7" x14ac:dyDescent="0.25">
      <c r="A102" s="9" t="s">
        <v>116</v>
      </c>
      <c r="B102" s="6">
        <v>29</v>
      </c>
      <c r="C102" s="6" t="s">
        <v>7</v>
      </c>
      <c r="D102" s="6" t="s">
        <v>16</v>
      </c>
      <c r="E102" s="6">
        <v>47956</v>
      </c>
      <c r="F102" s="11" t="s">
        <v>20</v>
      </c>
      <c r="G102" s="6" t="str">
        <f t="shared" si="1"/>
        <v>25-34</v>
      </c>
    </row>
    <row r="103" spans="1:7" x14ac:dyDescent="0.25">
      <c r="A103" s="9" t="s">
        <v>117</v>
      </c>
      <c r="B103" s="6">
        <v>43</v>
      </c>
      <c r="C103" s="6" t="s">
        <v>7</v>
      </c>
      <c r="D103" s="6" t="s">
        <v>18</v>
      </c>
      <c r="E103" s="6">
        <v>73878</v>
      </c>
      <c r="F103" s="11" t="s">
        <v>9</v>
      </c>
      <c r="G103" s="6" t="str">
        <f t="shared" si="1"/>
        <v>35-44</v>
      </c>
    </row>
    <row r="104" spans="1:7" x14ac:dyDescent="0.25">
      <c r="A104" s="9" t="s">
        <v>118</v>
      </c>
      <c r="B104" s="6">
        <v>51</v>
      </c>
      <c r="C104" s="6" t="s">
        <v>7</v>
      </c>
      <c r="D104" s="6" t="s">
        <v>18</v>
      </c>
      <c r="E104" s="6">
        <v>74327</v>
      </c>
      <c r="F104" s="11" t="s">
        <v>9</v>
      </c>
      <c r="G104" s="6" t="str">
        <f t="shared" si="1"/>
        <v>45-54</v>
      </c>
    </row>
    <row r="105" spans="1:7" x14ac:dyDescent="0.25">
      <c r="A105" s="9" t="s">
        <v>119</v>
      </c>
      <c r="B105" s="6">
        <v>56</v>
      </c>
      <c r="C105" s="6" t="s">
        <v>14</v>
      </c>
      <c r="D105" s="6" t="s">
        <v>18</v>
      </c>
      <c r="E105" s="6">
        <v>82852</v>
      </c>
      <c r="F105" s="11" t="s">
        <v>9</v>
      </c>
      <c r="G105" s="6" t="str">
        <f t="shared" si="1"/>
        <v>55+</v>
      </c>
    </row>
    <row r="106" spans="1:7" x14ac:dyDescent="0.25">
      <c r="A106" s="9" t="s">
        <v>120</v>
      </c>
      <c r="B106" s="6">
        <v>37</v>
      </c>
      <c r="C106" s="6" t="s">
        <v>7</v>
      </c>
      <c r="D106" s="6" t="s">
        <v>16</v>
      </c>
      <c r="E106" s="6">
        <v>52563</v>
      </c>
      <c r="F106" s="11" t="s">
        <v>9</v>
      </c>
      <c r="G106" s="6" t="str">
        <f t="shared" si="1"/>
        <v>35-44</v>
      </c>
    </row>
    <row r="107" spans="1:7" x14ac:dyDescent="0.25">
      <c r="A107" s="9" t="s">
        <v>121</v>
      </c>
      <c r="B107" s="6">
        <v>46</v>
      </c>
      <c r="C107" s="6" t="s">
        <v>14</v>
      </c>
      <c r="D107" s="6" t="s">
        <v>32</v>
      </c>
      <c r="E107" s="6">
        <v>59131</v>
      </c>
      <c r="F107" s="11" t="s">
        <v>9</v>
      </c>
      <c r="G107" s="6" t="str">
        <f t="shared" si="1"/>
        <v>45-54</v>
      </c>
    </row>
    <row r="108" spans="1:7" x14ac:dyDescent="0.25">
      <c r="A108" s="9" t="s">
        <v>122</v>
      </c>
      <c r="B108" s="6">
        <v>44</v>
      </c>
      <c r="C108" s="6" t="s">
        <v>14</v>
      </c>
      <c r="D108" s="6" t="s">
        <v>16</v>
      </c>
      <c r="E108" s="6">
        <v>54645</v>
      </c>
      <c r="F108" s="11" t="s">
        <v>9</v>
      </c>
      <c r="G108" s="6" t="str">
        <f t="shared" si="1"/>
        <v>35-44</v>
      </c>
    </row>
    <row r="109" spans="1:7" x14ac:dyDescent="0.25">
      <c r="A109" s="9" t="s">
        <v>123</v>
      </c>
      <c r="B109" s="6">
        <v>57</v>
      </c>
      <c r="C109" s="6" t="s">
        <v>7</v>
      </c>
      <c r="D109" s="6" t="s">
        <v>11</v>
      </c>
      <c r="E109" s="6">
        <v>75275</v>
      </c>
      <c r="F109" s="11" t="s">
        <v>9</v>
      </c>
      <c r="G109" s="6" t="str">
        <f t="shared" si="1"/>
        <v>55+</v>
      </c>
    </row>
    <row r="110" spans="1:7" x14ac:dyDescent="0.25">
      <c r="A110" s="9" t="s">
        <v>124</v>
      </c>
      <c r="B110" s="6">
        <v>53</v>
      </c>
      <c r="C110" s="6" t="s">
        <v>7</v>
      </c>
      <c r="D110" s="6" t="s">
        <v>8</v>
      </c>
      <c r="E110" s="6">
        <v>61474</v>
      </c>
      <c r="F110" s="11" t="s">
        <v>9</v>
      </c>
      <c r="G110" s="6" t="str">
        <f t="shared" si="1"/>
        <v>45-54</v>
      </c>
    </row>
    <row r="111" spans="1:7" x14ac:dyDescent="0.25">
      <c r="A111" s="9" t="s">
        <v>125</v>
      </c>
      <c r="B111" s="6">
        <v>23</v>
      </c>
      <c r="C111" s="6" t="s">
        <v>7</v>
      </c>
      <c r="D111" s="6" t="s">
        <v>16</v>
      </c>
      <c r="E111" s="6">
        <v>44045</v>
      </c>
      <c r="F111" s="11" t="s">
        <v>9</v>
      </c>
      <c r="G111" s="6" t="str">
        <f t="shared" si="1"/>
        <v>&lt;25</v>
      </c>
    </row>
    <row r="112" spans="1:7" x14ac:dyDescent="0.25">
      <c r="A112" s="9" t="s">
        <v>126</v>
      </c>
      <c r="B112" s="6">
        <v>59</v>
      </c>
      <c r="C112" s="6" t="s">
        <v>14</v>
      </c>
      <c r="D112" s="6" t="s">
        <v>18</v>
      </c>
      <c r="E112" s="6">
        <v>83789</v>
      </c>
      <c r="F112" s="11" t="s">
        <v>9</v>
      </c>
      <c r="G112" s="6" t="str">
        <f t="shared" si="1"/>
        <v>55+</v>
      </c>
    </row>
    <row r="113" spans="1:7" x14ac:dyDescent="0.25">
      <c r="A113" s="9" t="s">
        <v>127</v>
      </c>
      <c r="B113" s="6">
        <v>57</v>
      </c>
      <c r="C113" s="6" t="s">
        <v>14</v>
      </c>
      <c r="D113" s="6" t="s">
        <v>16</v>
      </c>
      <c r="E113" s="6">
        <v>66467</v>
      </c>
      <c r="F113" s="11" t="s">
        <v>9</v>
      </c>
      <c r="G113" s="6" t="str">
        <f t="shared" si="1"/>
        <v>55+</v>
      </c>
    </row>
    <row r="114" spans="1:7" x14ac:dyDescent="0.25">
      <c r="A114" s="9" t="s">
        <v>128</v>
      </c>
      <c r="B114" s="6">
        <v>29</v>
      </c>
      <c r="C114" s="6" t="s">
        <v>7</v>
      </c>
      <c r="D114" s="6" t="s">
        <v>16</v>
      </c>
      <c r="E114" s="6">
        <v>45505</v>
      </c>
      <c r="F114" s="11" t="s">
        <v>9</v>
      </c>
      <c r="G114" s="6" t="str">
        <f t="shared" si="1"/>
        <v>25-34</v>
      </c>
    </row>
    <row r="115" spans="1:7" x14ac:dyDescent="0.25">
      <c r="A115" s="9" t="s">
        <v>129</v>
      </c>
      <c r="B115" s="6">
        <v>33</v>
      </c>
      <c r="C115" s="6" t="s">
        <v>7</v>
      </c>
      <c r="D115" s="6" t="s">
        <v>23</v>
      </c>
      <c r="E115" s="6">
        <v>71674</v>
      </c>
      <c r="F115" s="11" t="s">
        <v>9</v>
      </c>
      <c r="G115" s="6" t="str">
        <f t="shared" si="1"/>
        <v>25-34</v>
      </c>
    </row>
    <row r="116" spans="1:7" x14ac:dyDescent="0.25">
      <c r="A116" s="9" t="s">
        <v>130</v>
      </c>
      <c r="B116" s="6">
        <v>55</v>
      </c>
      <c r="C116" s="6" t="s">
        <v>14</v>
      </c>
      <c r="D116" s="6" t="s">
        <v>32</v>
      </c>
      <c r="E116" s="6">
        <v>70308</v>
      </c>
      <c r="F116" s="11" t="s">
        <v>9</v>
      </c>
      <c r="G116" s="6" t="str">
        <f t="shared" si="1"/>
        <v>55+</v>
      </c>
    </row>
    <row r="117" spans="1:7" x14ac:dyDescent="0.25">
      <c r="A117" s="9" t="s">
        <v>131</v>
      </c>
      <c r="B117" s="6">
        <v>41</v>
      </c>
      <c r="C117" s="6" t="s">
        <v>7</v>
      </c>
      <c r="D117" s="6" t="s">
        <v>8</v>
      </c>
      <c r="E117" s="6">
        <v>50868</v>
      </c>
      <c r="F117" s="11" t="s">
        <v>9</v>
      </c>
      <c r="G117" s="6" t="str">
        <f t="shared" si="1"/>
        <v>35-44</v>
      </c>
    </row>
    <row r="118" spans="1:7" x14ac:dyDescent="0.25">
      <c r="A118" s="9" t="s">
        <v>132</v>
      </c>
      <c r="B118" s="6">
        <v>57</v>
      </c>
      <c r="C118" s="6" t="s">
        <v>14</v>
      </c>
      <c r="D118" s="6" t="s">
        <v>8</v>
      </c>
      <c r="E118" s="6">
        <v>71624</v>
      </c>
      <c r="F118" s="11" t="s">
        <v>9</v>
      </c>
      <c r="G118" s="6" t="str">
        <f t="shared" si="1"/>
        <v>55+</v>
      </c>
    </row>
    <row r="119" spans="1:7" x14ac:dyDescent="0.25">
      <c r="A119" s="9" t="s">
        <v>133</v>
      </c>
      <c r="B119" s="6">
        <v>28</v>
      </c>
      <c r="C119" s="6" t="s">
        <v>7</v>
      </c>
      <c r="D119" s="6" t="s">
        <v>11</v>
      </c>
      <c r="E119" s="6">
        <v>51082</v>
      </c>
      <c r="F119" s="11" t="s">
        <v>9</v>
      </c>
      <c r="G119" s="6" t="str">
        <f t="shared" si="1"/>
        <v>25-34</v>
      </c>
    </row>
    <row r="120" spans="1:7" x14ac:dyDescent="0.25">
      <c r="A120" s="9" t="s">
        <v>134</v>
      </c>
      <c r="B120" s="6">
        <v>25</v>
      </c>
      <c r="C120" s="6" t="s">
        <v>14</v>
      </c>
      <c r="D120" s="6" t="s">
        <v>18</v>
      </c>
      <c r="E120" s="6">
        <v>57893</v>
      </c>
      <c r="F120" s="11" t="s">
        <v>9</v>
      </c>
      <c r="G120" s="6" t="str">
        <f t="shared" si="1"/>
        <v>25-34</v>
      </c>
    </row>
    <row r="121" spans="1:7" x14ac:dyDescent="0.25">
      <c r="A121" s="9" t="s">
        <v>135</v>
      </c>
      <c r="B121" s="6">
        <v>58</v>
      </c>
      <c r="C121" s="6" t="s">
        <v>7</v>
      </c>
      <c r="D121" s="6" t="s">
        <v>23</v>
      </c>
      <c r="E121" s="6">
        <v>82588</v>
      </c>
      <c r="F121" s="11" t="s">
        <v>9</v>
      </c>
      <c r="G121" s="6" t="str">
        <f t="shared" si="1"/>
        <v>55+</v>
      </c>
    </row>
    <row r="122" spans="1:7" x14ac:dyDescent="0.25">
      <c r="A122" s="9" t="s">
        <v>136</v>
      </c>
      <c r="B122" s="6">
        <v>37</v>
      </c>
      <c r="C122" s="6" t="s">
        <v>7</v>
      </c>
      <c r="D122" s="6" t="s">
        <v>11</v>
      </c>
      <c r="E122" s="6">
        <v>60583</v>
      </c>
      <c r="F122" s="11" t="s">
        <v>9</v>
      </c>
      <c r="G122" s="6" t="str">
        <f t="shared" si="1"/>
        <v>35-44</v>
      </c>
    </row>
    <row r="123" spans="1:7" x14ac:dyDescent="0.25">
      <c r="A123" s="9" t="s">
        <v>137</v>
      </c>
      <c r="B123" s="6">
        <v>36</v>
      </c>
      <c r="C123" s="6" t="s">
        <v>14</v>
      </c>
      <c r="D123" s="6" t="s">
        <v>18</v>
      </c>
      <c r="E123" s="6">
        <v>70338</v>
      </c>
      <c r="F123" s="11" t="s">
        <v>9</v>
      </c>
      <c r="G123" s="6" t="str">
        <f t="shared" si="1"/>
        <v>35-44</v>
      </c>
    </row>
    <row r="124" spans="1:7" x14ac:dyDescent="0.25">
      <c r="A124" s="9" t="s">
        <v>138</v>
      </c>
      <c r="B124" s="6">
        <v>49</v>
      </c>
      <c r="C124" s="6" t="s">
        <v>14</v>
      </c>
      <c r="D124" s="6" t="s">
        <v>11</v>
      </c>
      <c r="E124" s="6">
        <v>68060</v>
      </c>
      <c r="F124" s="11" t="s">
        <v>9</v>
      </c>
      <c r="G124" s="6" t="str">
        <f t="shared" si="1"/>
        <v>45-54</v>
      </c>
    </row>
    <row r="125" spans="1:7" x14ac:dyDescent="0.25">
      <c r="A125" s="9" t="s">
        <v>139</v>
      </c>
      <c r="B125" s="6">
        <v>35</v>
      </c>
      <c r="C125" s="6" t="s">
        <v>7</v>
      </c>
      <c r="D125" s="6" t="s">
        <v>16</v>
      </c>
      <c r="E125" s="6">
        <v>48749</v>
      </c>
      <c r="F125" s="11" t="s">
        <v>9</v>
      </c>
      <c r="G125" s="6" t="str">
        <f t="shared" si="1"/>
        <v>35-44</v>
      </c>
    </row>
    <row r="126" spans="1:7" x14ac:dyDescent="0.25">
      <c r="A126" s="9" t="s">
        <v>140</v>
      </c>
      <c r="B126" s="6">
        <v>26</v>
      </c>
      <c r="C126" s="6" t="s">
        <v>7</v>
      </c>
      <c r="D126" s="6" t="s">
        <v>32</v>
      </c>
      <c r="E126" s="6">
        <v>48932</v>
      </c>
      <c r="F126" s="11" t="s">
        <v>9</v>
      </c>
      <c r="G126" s="6" t="str">
        <f t="shared" si="1"/>
        <v>25-34</v>
      </c>
    </row>
    <row r="127" spans="1:7" x14ac:dyDescent="0.25">
      <c r="A127" s="9" t="s">
        <v>141</v>
      </c>
      <c r="B127" s="6">
        <v>24</v>
      </c>
      <c r="C127" s="6" t="s">
        <v>7</v>
      </c>
      <c r="D127" s="6" t="s">
        <v>16</v>
      </c>
      <c r="E127" s="6">
        <v>45130</v>
      </c>
      <c r="F127" s="11" t="s">
        <v>9</v>
      </c>
      <c r="G127" s="6" t="str">
        <f t="shared" si="1"/>
        <v>&lt;25</v>
      </c>
    </row>
    <row r="128" spans="1:7" x14ac:dyDescent="0.25">
      <c r="A128" s="9" t="s">
        <v>142</v>
      </c>
      <c r="B128" s="6">
        <v>36</v>
      </c>
      <c r="C128" s="6" t="s">
        <v>14</v>
      </c>
      <c r="D128" s="6" t="s">
        <v>8</v>
      </c>
      <c r="E128" s="6">
        <v>52159</v>
      </c>
      <c r="F128" s="11" t="s">
        <v>9</v>
      </c>
      <c r="G128" s="6" t="str">
        <f t="shared" si="1"/>
        <v>35-44</v>
      </c>
    </row>
    <row r="129" spans="1:7" x14ac:dyDescent="0.25">
      <c r="A129" s="9" t="s">
        <v>143</v>
      </c>
      <c r="B129" s="6">
        <v>29</v>
      </c>
      <c r="C129" s="6" t="s">
        <v>7</v>
      </c>
      <c r="D129" s="6" t="s">
        <v>8</v>
      </c>
      <c r="E129" s="6">
        <v>41446</v>
      </c>
      <c r="F129" s="11" t="s">
        <v>20</v>
      </c>
      <c r="G129" s="6" t="str">
        <f t="shared" si="1"/>
        <v>25-34</v>
      </c>
    </row>
    <row r="130" spans="1:7" x14ac:dyDescent="0.25">
      <c r="A130" s="9" t="s">
        <v>144</v>
      </c>
      <c r="B130" s="6">
        <v>25</v>
      </c>
      <c r="C130" s="6" t="s">
        <v>7</v>
      </c>
      <c r="D130" s="6" t="s">
        <v>16</v>
      </c>
      <c r="E130" s="6">
        <v>46686</v>
      </c>
      <c r="F130" s="11" t="s">
        <v>9</v>
      </c>
      <c r="G130" s="6" t="str">
        <f t="shared" ref="G130:G193" si="2">IF(B130&lt;25,"&lt;25",IF(B130&lt;=34,"25-34",IF(B130&lt;=44,"35-44",IF(B130&lt;=54,"45-54","55+"))))</f>
        <v>25-34</v>
      </c>
    </row>
    <row r="131" spans="1:7" x14ac:dyDescent="0.25">
      <c r="A131" s="9" t="s">
        <v>145</v>
      </c>
      <c r="B131" s="6">
        <v>50</v>
      </c>
      <c r="C131" s="6" t="s">
        <v>7</v>
      </c>
      <c r="D131" s="6" t="s">
        <v>18</v>
      </c>
      <c r="E131" s="6">
        <v>82439</v>
      </c>
      <c r="F131" s="11" t="s">
        <v>9</v>
      </c>
      <c r="G131" s="6" t="str">
        <f t="shared" si="2"/>
        <v>45-54</v>
      </c>
    </row>
    <row r="132" spans="1:7" x14ac:dyDescent="0.25">
      <c r="A132" s="9" t="s">
        <v>146</v>
      </c>
      <c r="B132" s="6">
        <v>54</v>
      </c>
      <c r="C132" s="6" t="s">
        <v>14</v>
      </c>
      <c r="D132" s="6" t="s">
        <v>18</v>
      </c>
      <c r="E132" s="6">
        <v>70405</v>
      </c>
      <c r="F132" s="11" t="s">
        <v>9</v>
      </c>
      <c r="G132" s="6" t="str">
        <f t="shared" si="2"/>
        <v>45-54</v>
      </c>
    </row>
    <row r="133" spans="1:7" x14ac:dyDescent="0.25">
      <c r="A133" s="9" t="s">
        <v>147</v>
      </c>
      <c r="B133" s="6">
        <v>42</v>
      </c>
      <c r="C133" s="6" t="s">
        <v>14</v>
      </c>
      <c r="D133" s="6" t="s">
        <v>32</v>
      </c>
      <c r="E133" s="6">
        <v>57608</v>
      </c>
      <c r="F133" s="11" t="s">
        <v>9</v>
      </c>
      <c r="G133" s="6" t="str">
        <f t="shared" si="2"/>
        <v>35-44</v>
      </c>
    </row>
    <row r="134" spans="1:7" x14ac:dyDescent="0.25">
      <c r="A134" s="9" t="s">
        <v>148</v>
      </c>
      <c r="B134" s="6">
        <v>58</v>
      </c>
      <c r="C134" s="6" t="s">
        <v>7</v>
      </c>
      <c r="D134" s="6" t="s">
        <v>8</v>
      </c>
      <c r="E134" s="6">
        <v>69795</v>
      </c>
      <c r="F134" s="11" t="s">
        <v>9</v>
      </c>
      <c r="G134" s="6" t="str">
        <f t="shared" si="2"/>
        <v>55+</v>
      </c>
    </row>
    <row r="135" spans="1:7" x14ac:dyDescent="0.25">
      <c r="A135" s="9" t="s">
        <v>149</v>
      </c>
      <c r="B135" s="6">
        <v>33</v>
      </c>
      <c r="C135" s="6" t="s">
        <v>14</v>
      </c>
      <c r="D135" s="6" t="s">
        <v>11</v>
      </c>
      <c r="E135" s="6">
        <v>59311</v>
      </c>
      <c r="F135" s="11" t="s">
        <v>9</v>
      </c>
      <c r="G135" s="6" t="str">
        <f t="shared" si="2"/>
        <v>25-34</v>
      </c>
    </row>
    <row r="136" spans="1:7" x14ac:dyDescent="0.25">
      <c r="A136" s="9" t="s">
        <v>150</v>
      </c>
      <c r="B136" s="6">
        <v>59</v>
      </c>
      <c r="C136" s="6" t="s">
        <v>14</v>
      </c>
      <c r="D136" s="6" t="s">
        <v>8</v>
      </c>
      <c r="E136" s="6">
        <v>73615</v>
      </c>
      <c r="F136" s="11" t="s">
        <v>9</v>
      </c>
      <c r="G136" s="6" t="str">
        <f t="shared" si="2"/>
        <v>55+</v>
      </c>
    </row>
    <row r="137" spans="1:7" x14ac:dyDescent="0.25">
      <c r="A137" s="9" t="s">
        <v>151</v>
      </c>
      <c r="B137" s="6">
        <v>48</v>
      </c>
      <c r="C137" s="6" t="s">
        <v>14</v>
      </c>
      <c r="D137" s="6" t="s">
        <v>16</v>
      </c>
      <c r="E137" s="6">
        <v>63973</v>
      </c>
      <c r="F137" s="11" t="s">
        <v>9</v>
      </c>
      <c r="G137" s="6" t="str">
        <f t="shared" si="2"/>
        <v>45-54</v>
      </c>
    </row>
    <row r="138" spans="1:7" x14ac:dyDescent="0.25">
      <c r="A138" s="9" t="s">
        <v>152</v>
      </c>
      <c r="B138" s="6">
        <v>53</v>
      </c>
      <c r="C138" s="6" t="s">
        <v>14</v>
      </c>
      <c r="D138" s="6" t="s">
        <v>8</v>
      </c>
      <c r="E138" s="6">
        <v>69559</v>
      </c>
      <c r="F138" s="11" t="s">
        <v>9</v>
      </c>
      <c r="G138" s="6" t="str">
        <f t="shared" si="2"/>
        <v>45-54</v>
      </c>
    </row>
    <row r="139" spans="1:7" x14ac:dyDescent="0.25">
      <c r="A139" s="9" t="s">
        <v>153</v>
      </c>
      <c r="B139" s="6">
        <v>51</v>
      </c>
      <c r="C139" s="6" t="s">
        <v>7</v>
      </c>
      <c r="D139" s="6" t="s">
        <v>16</v>
      </c>
      <c r="E139" s="6">
        <v>54187</v>
      </c>
      <c r="F139" s="11" t="s">
        <v>9</v>
      </c>
      <c r="G139" s="6" t="str">
        <f t="shared" si="2"/>
        <v>45-54</v>
      </c>
    </row>
    <row r="140" spans="1:7" x14ac:dyDescent="0.25">
      <c r="A140" s="9" t="s">
        <v>154</v>
      </c>
      <c r="B140" s="6">
        <v>54</v>
      </c>
      <c r="C140" s="6" t="s">
        <v>7</v>
      </c>
      <c r="D140" s="6" t="s">
        <v>8</v>
      </c>
      <c r="E140" s="6">
        <v>66405</v>
      </c>
      <c r="F140" s="11" t="s">
        <v>20</v>
      </c>
      <c r="G140" s="6" t="str">
        <f t="shared" si="2"/>
        <v>45-54</v>
      </c>
    </row>
    <row r="141" spans="1:7" x14ac:dyDescent="0.25">
      <c r="A141" s="9" t="s">
        <v>155</v>
      </c>
      <c r="B141" s="6">
        <v>55</v>
      </c>
      <c r="C141" s="6" t="s">
        <v>14</v>
      </c>
      <c r="D141" s="6" t="s">
        <v>11</v>
      </c>
      <c r="E141" s="6">
        <v>74684</v>
      </c>
      <c r="F141" s="11" t="s">
        <v>9</v>
      </c>
      <c r="G141" s="6" t="str">
        <f t="shared" si="2"/>
        <v>55+</v>
      </c>
    </row>
    <row r="142" spans="1:7" x14ac:dyDescent="0.25">
      <c r="A142" s="9" t="s">
        <v>156</v>
      </c>
      <c r="B142" s="6">
        <v>35</v>
      </c>
      <c r="C142" s="6" t="s">
        <v>14</v>
      </c>
      <c r="D142" s="6" t="s">
        <v>11</v>
      </c>
      <c r="E142" s="6">
        <v>52355</v>
      </c>
      <c r="F142" s="11" t="s">
        <v>9</v>
      </c>
      <c r="G142" s="6" t="str">
        <f t="shared" si="2"/>
        <v>35-44</v>
      </c>
    </row>
    <row r="143" spans="1:7" x14ac:dyDescent="0.25">
      <c r="A143" s="9" t="s">
        <v>157</v>
      </c>
      <c r="B143" s="6">
        <v>53</v>
      </c>
      <c r="C143" s="6" t="s">
        <v>7</v>
      </c>
      <c r="D143" s="6" t="s">
        <v>32</v>
      </c>
      <c r="E143" s="6">
        <v>73354</v>
      </c>
      <c r="F143" s="11" t="s">
        <v>9</v>
      </c>
      <c r="G143" s="6" t="str">
        <f t="shared" si="2"/>
        <v>45-54</v>
      </c>
    </row>
    <row r="144" spans="1:7" x14ac:dyDescent="0.25">
      <c r="A144" s="9" t="s">
        <v>158</v>
      </c>
      <c r="B144" s="6">
        <v>32</v>
      </c>
      <c r="C144" s="6" t="s">
        <v>14</v>
      </c>
      <c r="D144" s="6" t="s">
        <v>11</v>
      </c>
      <c r="E144" s="6">
        <v>51332</v>
      </c>
      <c r="F144" s="11" t="s">
        <v>9</v>
      </c>
      <c r="G144" s="6" t="str">
        <f t="shared" si="2"/>
        <v>25-34</v>
      </c>
    </row>
    <row r="145" spans="1:7" x14ac:dyDescent="0.25">
      <c r="A145" s="9" t="s">
        <v>159</v>
      </c>
      <c r="B145" s="6">
        <v>29</v>
      </c>
      <c r="C145" s="6" t="s">
        <v>14</v>
      </c>
      <c r="D145" s="6" t="s">
        <v>32</v>
      </c>
      <c r="E145" s="6">
        <v>47298</v>
      </c>
      <c r="F145" s="11" t="s">
        <v>9</v>
      </c>
      <c r="G145" s="6" t="str">
        <f t="shared" si="2"/>
        <v>25-34</v>
      </c>
    </row>
    <row r="146" spans="1:7" x14ac:dyDescent="0.25">
      <c r="A146" s="9" t="s">
        <v>160</v>
      </c>
      <c r="B146" s="6">
        <v>40</v>
      </c>
      <c r="C146" s="6" t="s">
        <v>14</v>
      </c>
      <c r="D146" s="6" t="s">
        <v>18</v>
      </c>
      <c r="E146" s="6">
        <v>78554</v>
      </c>
      <c r="F146" s="11" t="s">
        <v>9</v>
      </c>
      <c r="G146" s="6" t="str">
        <f t="shared" si="2"/>
        <v>35-44</v>
      </c>
    </row>
    <row r="147" spans="1:7" x14ac:dyDescent="0.25">
      <c r="A147" s="9" t="s">
        <v>161</v>
      </c>
      <c r="B147" s="6">
        <v>57</v>
      </c>
      <c r="C147" s="6" t="s">
        <v>7</v>
      </c>
      <c r="D147" s="6" t="s">
        <v>18</v>
      </c>
      <c r="E147" s="6">
        <v>78130</v>
      </c>
      <c r="F147" s="11" t="s">
        <v>9</v>
      </c>
      <c r="G147" s="6" t="str">
        <f t="shared" si="2"/>
        <v>55+</v>
      </c>
    </row>
    <row r="148" spans="1:7" x14ac:dyDescent="0.25">
      <c r="A148" s="9" t="s">
        <v>162</v>
      </c>
      <c r="B148" s="6">
        <v>30</v>
      </c>
      <c r="C148" s="6" t="s">
        <v>7</v>
      </c>
      <c r="D148" s="6" t="s">
        <v>16</v>
      </c>
      <c r="E148" s="6">
        <v>51125</v>
      </c>
      <c r="F148" s="11" t="s">
        <v>9</v>
      </c>
      <c r="G148" s="6" t="str">
        <f t="shared" si="2"/>
        <v>25-34</v>
      </c>
    </row>
    <row r="149" spans="1:7" x14ac:dyDescent="0.25">
      <c r="A149" s="9" t="s">
        <v>163</v>
      </c>
      <c r="B149" s="6">
        <v>54</v>
      </c>
      <c r="C149" s="6" t="s">
        <v>14</v>
      </c>
      <c r="D149" s="6" t="s">
        <v>32</v>
      </c>
      <c r="E149" s="6">
        <v>60713</v>
      </c>
      <c r="F149" s="11" t="s">
        <v>9</v>
      </c>
      <c r="G149" s="6" t="str">
        <f t="shared" si="2"/>
        <v>45-54</v>
      </c>
    </row>
    <row r="150" spans="1:7" x14ac:dyDescent="0.25">
      <c r="A150" s="9" t="s">
        <v>164</v>
      </c>
      <c r="B150" s="6">
        <v>53</v>
      </c>
      <c r="C150" s="6" t="s">
        <v>7</v>
      </c>
      <c r="D150" s="6" t="s">
        <v>18</v>
      </c>
      <c r="E150" s="6">
        <v>79508</v>
      </c>
      <c r="F150" s="11" t="s">
        <v>9</v>
      </c>
      <c r="G150" s="6" t="str">
        <f t="shared" si="2"/>
        <v>45-54</v>
      </c>
    </row>
    <row r="151" spans="1:7" x14ac:dyDescent="0.25">
      <c r="A151" s="9" t="s">
        <v>165</v>
      </c>
      <c r="B151" s="6">
        <v>56</v>
      </c>
      <c r="C151" s="6" t="s">
        <v>14</v>
      </c>
      <c r="D151" s="6" t="s">
        <v>18</v>
      </c>
      <c r="E151" s="6">
        <v>92415</v>
      </c>
      <c r="F151" s="11" t="s">
        <v>9</v>
      </c>
      <c r="G151" s="6" t="str">
        <f t="shared" si="2"/>
        <v>55+</v>
      </c>
    </row>
    <row r="152" spans="1:7" x14ac:dyDescent="0.25">
      <c r="A152" s="9" t="s">
        <v>166</v>
      </c>
      <c r="B152" s="6">
        <v>37</v>
      </c>
      <c r="C152" s="6" t="s">
        <v>14</v>
      </c>
      <c r="D152" s="6" t="s">
        <v>23</v>
      </c>
      <c r="E152" s="6">
        <v>76706</v>
      </c>
      <c r="F152" s="11" t="s">
        <v>9</v>
      </c>
      <c r="G152" s="6" t="str">
        <f t="shared" si="2"/>
        <v>35-44</v>
      </c>
    </row>
    <row r="153" spans="1:7" x14ac:dyDescent="0.25">
      <c r="A153" s="9" t="s">
        <v>167</v>
      </c>
      <c r="B153" s="6">
        <v>52</v>
      </c>
      <c r="C153" s="6" t="s">
        <v>14</v>
      </c>
      <c r="D153" s="6" t="s">
        <v>18</v>
      </c>
      <c r="E153" s="6">
        <v>89165</v>
      </c>
      <c r="F153" s="11" t="s">
        <v>9</v>
      </c>
      <c r="G153" s="6" t="str">
        <f t="shared" si="2"/>
        <v>45-54</v>
      </c>
    </row>
    <row r="154" spans="1:7" x14ac:dyDescent="0.25">
      <c r="A154" s="9" t="s">
        <v>168</v>
      </c>
      <c r="B154" s="6">
        <v>31</v>
      </c>
      <c r="C154" s="6" t="s">
        <v>14</v>
      </c>
      <c r="D154" s="6" t="s">
        <v>32</v>
      </c>
      <c r="E154" s="6">
        <v>52890</v>
      </c>
      <c r="F154" s="11" t="s">
        <v>9</v>
      </c>
      <c r="G154" s="6" t="str">
        <f t="shared" si="2"/>
        <v>25-34</v>
      </c>
    </row>
    <row r="155" spans="1:7" x14ac:dyDescent="0.25">
      <c r="A155" s="9" t="s">
        <v>169</v>
      </c>
      <c r="B155" s="6">
        <v>28</v>
      </c>
      <c r="C155" s="6" t="s">
        <v>14</v>
      </c>
      <c r="D155" s="6" t="s">
        <v>32</v>
      </c>
      <c r="E155" s="6">
        <v>48633</v>
      </c>
      <c r="F155" s="11" t="s">
        <v>9</v>
      </c>
      <c r="G155" s="6" t="str">
        <f t="shared" si="2"/>
        <v>25-34</v>
      </c>
    </row>
    <row r="156" spans="1:7" x14ac:dyDescent="0.25">
      <c r="A156" s="9" t="s">
        <v>170</v>
      </c>
      <c r="B156" s="6">
        <v>48</v>
      </c>
      <c r="C156" s="6" t="s">
        <v>7</v>
      </c>
      <c r="D156" s="6" t="s">
        <v>32</v>
      </c>
      <c r="E156" s="6">
        <v>65257</v>
      </c>
      <c r="F156" s="11" t="s">
        <v>9</v>
      </c>
      <c r="G156" s="6" t="str">
        <f t="shared" si="2"/>
        <v>45-54</v>
      </c>
    </row>
    <row r="157" spans="1:7" x14ac:dyDescent="0.25">
      <c r="A157" s="9" t="s">
        <v>171</v>
      </c>
      <c r="B157" s="6">
        <v>47</v>
      </c>
      <c r="C157" s="6" t="s">
        <v>7</v>
      </c>
      <c r="D157" s="6" t="s">
        <v>16</v>
      </c>
      <c r="E157" s="6">
        <v>65529</v>
      </c>
      <c r="F157" s="11" t="s">
        <v>9</v>
      </c>
      <c r="G157" s="6" t="str">
        <f t="shared" si="2"/>
        <v>45-54</v>
      </c>
    </row>
    <row r="158" spans="1:7" x14ac:dyDescent="0.25">
      <c r="A158" s="9" t="s">
        <v>172</v>
      </c>
      <c r="B158" s="6">
        <v>42</v>
      </c>
      <c r="C158" s="6" t="s">
        <v>14</v>
      </c>
      <c r="D158" s="6" t="s">
        <v>11</v>
      </c>
      <c r="E158" s="6">
        <v>52906</v>
      </c>
      <c r="F158" s="11" t="s">
        <v>9</v>
      </c>
      <c r="G158" s="6" t="str">
        <f t="shared" si="2"/>
        <v>35-44</v>
      </c>
    </row>
    <row r="159" spans="1:7" x14ac:dyDescent="0.25">
      <c r="A159" s="9" t="s">
        <v>173</v>
      </c>
      <c r="B159" s="6">
        <v>40</v>
      </c>
      <c r="C159" s="6" t="s">
        <v>7</v>
      </c>
      <c r="D159" s="6" t="s">
        <v>8</v>
      </c>
      <c r="E159" s="6">
        <v>51840</v>
      </c>
      <c r="F159" s="11" t="s">
        <v>9</v>
      </c>
      <c r="G159" s="6" t="str">
        <f t="shared" si="2"/>
        <v>35-44</v>
      </c>
    </row>
    <row r="160" spans="1:7" x14ac:dyDescent="0.25">
      <c r="A160" s="9" t="s">
        <v>174</v>
      </c>
      <c r="B160" s="6">
        <v>28</v>
      </c>
      <c r="C160" s="6" t="s">
        <v>14</v>
      </c>
      <c r="D160" s="6" t="s">
        <v>23</v>
      </c>
      <c r="E160" s="6">
        <v>72709</v>
      </c>
      <c r="F160" s="11" t="s">
        <v>20</v>
      </c>
      <c r="G160" s="6" t="str">
        <f t="shared" si="2"/>
        <v>25-34</v>
      </c>
    </row>
    <row r="161" spans="1:7" x14ac:dyDescent="0.25">
      <c r="A161" s="9" t="s">
        <v>175</v>
      </c>
      <c r="B161" s="6">
        <v>25</v>
      </c>
      <c r="C161" s="6" t="s">
        <v>14</v>
      </c>
      <c r="D161" s="6" t="s">
        <v>16</v>
      </c>
      <c r="E161" s="6">
        <v>40926</v>
      </c>
      <c r="F161" s="11" t="s">
        <v>9</v>
      </c>
      <c r="G161" s="6" t="str">
        <f t="shared" si="2"/>
        <v>25-34</v>
      </c>
    </row>
    <row r="162" spans="1:7" x14ac:dyDescent="0.25">
      <c r="A162" s="9" t="s">
        <v>176</v>
      </c>
      <c r="B162" s="6">
        <v>58</v>
      </c>
      <c r="C162" s="6" t="s">
        <v>7</v>
      </c>
      <c r="D162" s="6" t="s">
        <v>23</v>
      </c>
      <c r="E162" s="6">
        <v>83427</v>
      </c>
      <c r="F162" s="11" t="s">
        <v>9</v>
      </c>
      <c r="G162" s="6" t="str">
        <f t="shared" si="2"/>
        <v>55+</v>
      </c>
    </row>
    <row r="163" spans="1:7" x14ac:dyDescent="0.25">
      <c r="A163" s="9" t="s">
        <v>177</v>
      </c>
      <c r="B163" s="6">
        <v>37</v>
      </c>
      <c r="C163" s="6" t="s">
        <v>14</v>
      </c>
      <c r="D163" s="6" t="s">
        <v>11</v>
      </c>
      <c r="E163" s="6">
        <v>54762</v>
      </c>
      <c r="F163" s="11" t="s">
        <v>9</v>
      </c>
      <c r="G163" s="6" t="str">
        <f t="shared" si="2"/>
        <v>35-44</v>
      </c>
    </row>
    <row r="164" spans="1:7" x14ac:dyDescent="0.25">
      <c r="A164" s="9" t="s">
        <v>178</v>
      </c>
      <c r="B164" s="6">
        <v>38</v>
      </c>
      <c r="C164" s="6" t="s">
        <v>7</v>
      </c>
      <c r="D164" s="6" t="s">
        <v>18</v>
      </c>
      <c r="E164" s="6">
        <v>75030</v>
      </c>
      <c r="F164" s="11" t="s">
        <v>9</v>
      </c>
      <c r="G164" s="6" t="str">
        <f t="shared" si="2"/>
        <v>35-44</v>
      </c>
    </row>
    <row r="165" spans="1:7" x14ac:dyDescent="0.25">
      <c r="A165" s="9" t="s">
        <v>179</v>
      </c>
      <c r="B165" s="6">
        <v>50</v>
      </c>
      <c r="C165" s="6" t="s">
        <v>14</v>
      </c>
      <c r="D165" s="6" t="s">
        <v>11</v>
      </c>
      <c r="E165" s="6">
        <v>67084</v>
      </c>
      <c r="F165" s="11" t="s">
        <v>9</v>
      </c>
      <c r="G165" s="6" t="str">
        <f t="shared" si="2"/>
        <v>45-54</v>
      </c>
    </row>
    <row r="166" spans="1:7" x14ac:dyDescent="0.25">
      <c r="A166" s="9" t="s">
        <v>180</v>
      </c>
      <c r="B166" s="6">
        <v>51</v>
      </c>
      <c r="C166" s="6" t="s">
        <v>14</v>
      </c>
      <c r="D166" s="6" t="s">
        <v>23</v>
      </c>
      <c r="E166" s="6">
        <v>93917</v>
      </c>
      <c r="F166" s="11" t="s">
        <v>20</v>
      </c>
      <c r="G166" s="6" t="str">
        <f t="shared" si="2"/>
        <v>45-54</v>
      </c>
    </row>
    <row r="167" spans="1:7" x14ac:dyDescent="0.25">
      <c r="A167" s="9" t="s">
        <v>181</v>
      </c>
      <c r="B167" s="6">
        <v>46</v>
      </c>
      <c r="C167" s="6" t="s">
        <v>14</v>
      </c>
      <c r="D167" s="6" t="s">
        <v>11</v>
      </c>
      <c r="E167" s="6">
        <v>62744</v>
      </c>
      <c r="F167" s="11" t="s">
        <v>20</v>
      </c>
      <c r="G167" s="6" t="str">
        <f t="shared" si="2"/>
        <v>45-54</v>
      </c>
    </row>
    <row r="168" spans="1:7" x14ac:dyDescent="0.25">
      <c r="A168" s="9" t="s">
        <v>182</v>
      </c>
      <c r="B168" s="6">
        <v>47</v>
      </c>
      <c r="C168" s="6" t="s">
        <v>14</v>
      </c>
      <c r="D168" s="6" t="s">
        <v>32</v>
      </c>
      <c r="E168" s="6">
        <v>63560</v>
      </c>
      <c r="F168" s="11" t="s">
        <v>9</v>
      </c>
      <c r="G168" s="6" t="str">
        <f t="shared" si="2"/>
        <v>45-54</v>
      </c>
    </row>
    <row r="169" spans="1:7" x14ac:dyDescent="0.25">
      <c r="A169" s="9" t="s">
        <v>183</v>
      </c>
      <c r="B169" s="6">
        <v>25</v>
      </c>
      <c r="C169" s="6" t="s">
        <v>14</v>
      </c>
      <c r="D169" s="6" t="s">
        <v>16</v>
      </c>
      <c r="E169" s="6">
        <v>42204</v>
      </c>
      <c r="F169" s="11" t="s">
        <v>9</v>
      </c>
      <c r="G169" s="6" t="str">
        <f t="shared" si="2"/>
        <v>25-34</v>
      </c>
    </row>
    <row r="170" spans="1:7" x14ac:dyDescent="0.25">
      <c r="A170" s="9" t="s">
        <v>184</v>
      </c>
      <c r="B170" s="6">
        <v>36</v>
      </c>
      <c r="C170" s="6" t="s">
        <v>7</v>
      </c>
      <c r="D170" s="6" t="s">
        <v>11</v>
      </c>
      <c r="E170" s="6">
        <v>57399</v>
      </c>
      <c r="F170" s="11" t="s">
        <v>9</v>
      </c>
      <c r="G170" s="6" t="str">
        <f t="shared" si="2"/>
        <v>35-44</v>
      </c>
    </row>
    <row r="171" spans="1:7" x14ac:dyDescent="0.25">
      <c r="A171" s="9" t="s">
        <v>185</v>
      </c>
      <c r="B171" s="6">
        <v>30</v>
      </c>
      <c r="C171" s="6" t="s">
        <v>7</v>
      </c>
      <c r="D171" s="6" t="s">
        <v>8</v>
      </c>
      <c r="E171" s="6">
        <v>44256</v>
      </c>
      <c r="F171" s="11" t="s">
        <v>9</v>
      </c>
      <c r="G171" s="6" t="str">
        <f t="shared" si="2"/>
        <v>25-34</v>
      </c>
    </row>
    <row r="172" spans="1:7" x14ac:dyDescent="0.25">
      <c r="A172" s="9" t="s">
        <v>186</v>
      </c>
      <c r="B172" s="6">
        <v>59</v>
      </c>
      <c r="C172" s="6" t="s">
        <v>14</v>
      </c>
      <c r="D172" s="6" t="s">
        <v>8</v>
      </c>
      <c r="E172" s="6">
        <v>60508</v>
      </c>
      <c r="F172" s="11" t="s">
        <v>9</v>
      </c>
      <c r="G172" s="6" t="str">
        <f t="shared" si="2"/>
        <v>55+</v>
      </c>
    </row>
    <row r="173" spans="1:7" x14ac:dyDescent="0.25">
      <c r="A173" s="9" t="s">
        <v>187</v>
      </c>
      <c r="B173" s="6">
        <v>48</v>
      </c>
      <c r="C173" s="6" t="s">
        <v>7</v>
      </c>
      <c r="D173" s="6" t="s">
        <v>23</v>
      </c>
      <c r="E173" s="6">
        <v>77433</v>
      </c>
      <c r="F173" s="11" t="s">
        <v>9</v>
      </c>
      <c r="G173" s="6" t="str">
        <f t="shared" si="2"/>
        <v>45-54</v>
      </c>
    </row>
    <row r="174" spans="1:7" x14ac:dyDescent="0.25">
      <c r="A174" s="9" t="s">
        <v>188</v>
      </c>
      <c r="B174" s="6">
        <v>55</v>
      </c>
      <c r="C174" s="6" t="s">
        <v>14</v>
      </c>
      <c r="D174" s="6" t="s">
        <v>23</v>
      </c>
      <c r="E174" s="6">
        <v>85037</v>
      </c>
      <c r="F174" s="11" t="s">
        <v>9</v>
      </c>
      <c r="G174" s="6" t="str">
        <f t="shared" si="2"/>
        <v>55+</v>
      </c>
    </row>
    <row r="175" spans="1:7" x14ac:dyDescent="0.25">
      <c r="A175" s="9" t="s">
        <v>189</v>
      </c>
      <c r="B175" s="6">
        <v>40</v>
      </c>
      <c r="C175" s="6" t="s">
        <v>14</v>
      </c>
      <c r="D175" s="6" t="s">
        <v>32</v>
      </c>
      <c r="E175" s="6">
        <v>53017</v>
      </c>
      <c r="F175" s="11" t="s">
        <v>9</v>
      </c>
      <c r="G175" s="6" t="str">
        <f t="shared" si="2"/>
        <v>35-44</v>
      </c>
    </row>
    <row r="176" spans="1:7" x14ac:dyDescent="0.25">
      <c r="A176" s="9" t="s">
        <v>190</v>
      </c>
      <c r="B176" s="6">
        <v>36</v>
      </c>
      <c r="C176" s="6" t="s">
        <v>14</v>
      </c>
      <c r="D176" s="6" t="s">
        <v>11</v>
      </c>
      <c r="E176" s="6">
        <v>58485</v>
      </c>
      <c r="F176" s="11" t="s">
        <v>20</v>
      </c>
      <c r="G176" s="6" t="str">
        <f t="shared" si="2"/>
        <v>35-44</v>
      </c>
    </row>
    <row r="177" spans="1:7" x14ac:dyDescent="0.25">
      <c r="A177" s="9" t="s">
        <v>191</v>
      </c>
      <c r="B177" s="6">
        <v>56</v>
      </c>
      <c r="C177" s="6" t="s">
        <v>7</v>
      </c>
      <c r="D177" s="6" t="s">
        <v>18</v>
      </c>
      <c r="E177" s="6">
        <v>81858</v>
      </c>
      <c r="F177" s="11" t="s">
        <v>9</v>
      </c>
      <c r="G177" s="6" t="str">
        <f t="shared" si="2"/>
        <v>55+</v>
      </c>
    </row>
    <row r="178" spans="1:7" x14ac:dyDescent="0.25">
      <c r="A178" s="9" t="s">
        <v>192</v>
      </c>
      <c r="B178" s="6">
        <v>46</v>
      </c>
      <c r="C178" s="6" t="s">
        <v>14</v>
      </c>
      <c r="D178" s="6" t="s">
        <v>32</v>
      </c>
      <c r="E178" s="6">
        <v>62469</v>
      </c>
      <c r="F178" s="11" t="s">
        <v>9</v>
      </c>
      <c r="G178" s="6" t="str">
        <f t="shared" si="2"/>
        <v>45-54</v>
      </c>
    </row>
    <row r="179" spans="1:7" x14ac:dyDescent="0.25">
      <c r="A179" s="9" t="s">
        <v>193</v>
      </c>
      <c r="B179" s="6">
        <v>57</v>
      </c>
      <c r="C179" s="6" t="s">
        <v>14</v>
      </c>
      <c r="D179" s="6" t="s">
        <v>11</v>
      </c>
      <c r="E179" s="6">
        <v>62379</v>
      </c>
      <c r="F179" s="11" t="s">
        <v>9</v>
      </c>
      <c r="G179" s="6" t="str">
        <f t="shared" si="2"/>
        <v>55+</v>
      </c>
    </row>
    <row r="180" spans="1:7" x14ac:dyDescent="0.25">
      <c r="A180" s="9" t="s">
        <v>194</v>
      </c>
      <c r="B180" s="6">
        <v>41</v>
      </c>
      <c r="C180" s="6" t="s">
        <v>14</v>
      </c>
      <c r="D180" s="6" t="s">
        <v>32</v>
      </c>
      <c r="E180" s="6">
        <v>57497</v>
      </c>
      <c r="F180" s="11" t="s">
        <v>9</v>
      </c>
      <c r="G180" s="6" t="str">
        <f t="shared" si="2"/>
        <v>35-44</v>
      </c>
    </row>
    <row r="181" spans="1:7" x14ac:dyDescent="0.25">
      <c r="A181" s="9" t="s">
        <v>195</v>
      </c>
      <c r="B181" s="6">
        <v>53</v>
      </c>
      <c r="C181" s="6" t="s">
        <v>7</v>
      </c>
      <c r="D181" s="6" t="s">
        <v>32</v>
      </c>
      <c r="E181" s="6">
        <v>61339</v>
      </c>
      <c r="F181" s="11" t="s">
        <v>9</v>
      </c>
      <c r="G181" s="6" t="str">
        <f t="shared" si="2"/>
        <v>45-54</v>
      </c>
    </row>
    <row r="182" spans="1:7" x14ac:dyDescent="0.25">
      <c r="A182" s="9" t="s">
        <v>196</v>
      </c>
      <c r="B182" s="6">
        <v>45</v>
      </c>
      <c r="C182" s="6" t="s">
        <v>14</v>
      </c>
      <c r="D182" s="6" t="s">
        <v>11</v>
      </c>
      <c r="E182" s="6">
        <v>62972</v>
      </c>
      <c r="F182" s="11" t="s">
        <v>9</v>
      </c>
      <c r="G182" s="6" t="str">
        <f t="shared" si="2"/>
        <v>45-54</v>
      </c>
    </row>
    <row r="183" spans="1:7" x14ac:dyDescent="0.25">
      <c r="A183" s="9" t="s">
        <v>197</v>
      </c>
      <c r="B183" s="6">
        <v>28</v>
      </c>
      <c r="C183" s="6" t="s">
        <v>14</v>
      </c>
      <c r="D183" s="6" t="s">
        <v>11</v>
      </c>
      <c r="E183" s="6">
        <v>55236</v>
      </c>
      <c r="F183" s="11" t="s">
        <v>20</v>
      </c>
      <c r="G183" s="6" t="str">
        <f t="shared" si="2"/>
        <v>25-34</v>
      </c>
    </row>
    <row r="184" spans="1:7" x14ac:dyDescent="0.25">
      <c r="A184" s="9" t="s">
        <v>198</v>
      </c>
      <c r="B184" s="6">
        <v>45</v>
      </c>
      <c r="C184" s="6" t="s">
        <v>7</v>
      </c>
      <c r="D184" s="6" t="s">
        <v>18</v>
      </c>
      <c r="E184" s="6">
        <v>72202</v>
      </c>
      <c r="F184" s="11" t="s">
        <v>9</v>
      </c>
      <c r="G184" s="6" t="str">
        <f t="shared" si="2"/>
        <v>45-54</v>
      </c>
    </row>
    <row r="185" spans="1:7" x14ac:dyDescent="0.25">
      <c r="A185" s="9" t="s">
        <v>199</v>
      </c>
      <c r="B185" s="6">
        <v>45</v>
      </c>
      <c r="C185" s="6" t="s">
        <v>14</v>
      </c>
      <c r="D185" s="6" t="s">
        <v>32</v>
      </c>
      <c r="E185" s="6">
        <v>56297</v>
      </c>
      <c r="F185" s="11" t="s">
        <v>9</v>
      </c>
      <c r="G185" s="6" t="str">
        <f t="shared" si="2"/>
        <v>45-54</v>
      </c>
    </row>
    <row r="186" spans="1:7" x14ac:dyDescent="0.25">
      <c r="A186" s="9" t="s">
        <v>200</v>
      </c>
      <c r="B186" s="6">
        <v>51</v>
      </c>
      <c r="C186" s="6" t="s">
        <v>7</v>
      </c>
      <c r="D186" s="6" t="s">
        <v>8</v>
      </c>
      <c r="E186" s="6">
        <v>55791</v>
      </c>
      <c r="F186" s="11" t="s">
        <v>9</v>
      </c>
      <c r="G186" s="6" t="str">
        <f t="shared" si="2"/>
        <v>45-54</v>
      </c>
    </row>
    <row r="187" spans="1:7" x14ac:dyDescent="0.25">
      <c r="A187" s="9" t="s">
        <v>201</v>
      </c>
      <c r="B187" s="6">
        <v>25</v>
      </c>
      <c r="C187" s="6" t="s">
        <v>14</v>
      </c>
      <c r="D187" s="6" t="s">
        <v>23</v>
      </c>
      <c r="E187" s="6">
        <v>69979</v>
      </c>
      <c r="F187" s="11" t="s">
        <v>20</v>
      </c>
      <c r="G187" s="6" t="str">
        <f t="shared" si="2"/>
        <v>25-34</v>
      </c>
    </row>
    <row r="188" spans="1:7" x14ac:dyDescent="0.25">
      <c r="A188" s="9" t="s">
        <v>202</v>
      </c>
      <c r="B188" s="6">
        <v>57</v>
      </c>
      <c r="C188" s="6" t="s">
        <v>7</v>
      </c>
      <c r="D188" s="6" t="s">
        <v>11</v>
      </c>
      <c r="E188" s="6">
        <v>68736</v>
      </c>
      <c r="F188" s="11" t="s">
        <v>9</v>
      </c>
      <c r="G188" s="6" t="str">
        <f t="shared" si="2"/>
        <v>55+</v>
      </c>
    </row>
    <row r="189" spans="1:7" x14ac:dyDescent="0.25">
      <c r="A189" s="9" t="s">
        <v>203</v>
      </c>
      <c r="B189" s="6">
        <v>31</v>
      </c>
      <c r="C189" s="6" t="s">
        <v>7</v>
      </c>
      <c r="D189" s="6" t="s">
        <v>16</v>
      </c>
      <c r="E189" s="6">
        <v>46620</v>
      </c>
      <c r="F189" s="11" t="s">
        <v>9</v>
      </c>
      <c r="G189" s="6" t="str">
        <f t="shared" si="2"/>
        <v>25-34</v>
      </c>
    </row>
    <row r="190" spans="1:7" x14ac:dyDescent="0.25">
      <c r="A190" s="9" t="s">
        <v>204</v>
      </c>
      <c r="B190" s="6">
        <v>38</v>
      </c>
      <c r="C190" s="6" t="s">
        <v>7</v>
      </c>
      <c r="D190" s="6" t="s">
        <v>32</v>
      </c>
      <c r="E190" s="6">
        <v>52894</v>
      </c>
      <c r="F190" s="11" t="s">
        <v>20</v>
      </c>
      <c r="G190" s="6" t="str">
        <f t="shared" si="2"/>
        <v>35-44</v>
      </c>
    </row>
    <row r="191" spans="1:7" x14ac:dyDescent="0.25">
      <c r="A191" s="9" t="s">
        <v>205</v>
      </c>
      <c r="B191" s="6">
        <v>37</v>
      </c>
      <c r="C191" s="6" t="s">
        <v>14</v>
      </c>
      <c r="D191" s="6" t="s">
        <v>32</v>
      </c>
      <c r="E191" s="6">
        <v>48726</v>
      </c>
      <c r="F191" s="11" t="s">
        <v>9</v>
      </c>
      <c r="G191" s="6" t="str">
        <f t="shared" si="2"/>
        <v>35-44</v>
      </c>
    </row>
    <row r="192" spans="1:7" x14ac:dyDescent="0.25">
      <c r="A192" s="9" t="s">
        <v>206</v>
      </c>
      <c r="B192" s="6">
        <v>55</v>
      </c>
      <c r="C192" s="6" t="s">
        <v>7</v>
      </c>
      <c r="D192" s="6" t="s">
        <v>8</v>
      </c>
      <c r="E192" s="6">
        <v>53834</v>
      </c>
      <c r="F192" s="11" t="s">
        <v>9</v>
      </c>
      <c r="G192" s="6" t="str">
        <f t="shared" si="2"/>
        <v>55+</v>
      </c>
    </row>
    <row r="193" spans="1:7" x14ac:dyDescent="0.25">
      <c r="A193" s="9" t="s">
        <v>207</v>
      </c>
      <c r="B193" s="6">
        <v>59</v>
      </c>
      <c r="C193" s="6" t="s">
        <v>7</v>
      </c>
      <c r="D193" s="6" t="s">
        <v>18</v>
      </c>
      <c r="E193" s="6">
        <v>87684</v>
      </c>
      <c r="F193" s="11" t="s">
        <v>20</v>
      </c>
      <c r="G193" s="6" t="str">
        <f t="shared" si="2"/>
        <v>55+</v>
      </c>
    </row>
    <row r="194" spans="1:7" x14ac:dyDescent="0.25">
      <c r="A194" s="9" t="s">
        <v>208</v>
      </c>
      <c r="B194" s="6">
        <v>55</v>
      </c>
      <c r="C194" s="6" t="s">
        <v>14</v>
      </c>
      <c r="D194" s="6" t="s">
        <v>18</v>
      </c>
      <c r="E194" s="6">
        <v>80064</v>
      </c>
      <c r="F194" s="11" t="s">
        <v>9</v>
      </c>
      <c r="G194" s="6" t="str">
        <f t="shared" ref="G194:G251" si="3">IF(B194&lt;25,"&lt;25",IF(B194&lt;=34,"25-34",IF(B194&lt;=44,"35-44",IF(B194&lt;=54,"45-54","55+"))))</f>
        <v>55+</v>
      </c>
    </row>
    <row r="195" spans="1:7" x14ac:dyDescent="0.25">
      <c r="A195" s="9" t="s">
        <v>209</v>
      </c>
      <c r="B195" s="6">
        <v>47</v>
      </c>
      <c r="C195" s="6" t="s">
        <v>14</v>
      </c>
      <c r="D195" s="6" t="s">
        <v>8</v>
      </c>
      <c r="E195" s="6">
        <v>53048</v>
      </c>
      <c r="F195" s="11" t="s">
        <v>9</v>
      </c>
      <c r="G195" s="6" t="str">
        <f t="shared" si="3"/>
        <v>45-54</v>
      </c>
    </row>
    <row r="196" spans="1:7" x14ac:dyDescent="0.25">
      <c r="A196" s="9" t="s">
        <v>210</v>
      </c>
      <c r="B196" s="6">
        <v>27</v>
      </c>
      <c r="C196" s="6" t="s">
        <v>14</v>
      </c>
      <c r="D196" s="6" t="s">
        <v>11</v>
      </c>
      <c r="E196" s="6">
        <v>47380</v>
      </c>
      <c r="F196" s="11" t="s">
        <v>9</v>
      </c>
      <c r="G196" s="6" t="str">
        <f t="shared" si="3"/>
        <v>25-34</v>
      </c>
    </row>
    <row r="197" spans="1:7" x14ac:dyDescent="0.25">
      <c r="A197" s="9" t="s">
        <v>211</v>
      </c>
      <c r="B197" s="6">
        <v>59</v>
      </c>
      <c r="C197" s="6" t="s">
        <v>14</v>
      </c>
      <c r="D197" s="6" t="s">
        <v>18</v>
      </c>
      <c r="E197" s="6">
        <v>93445</v>
      </c>
      <c r="F197" s="11" t="s">
        <v>9</v>
      </c>
      <c r="G197" s="6" t="str">
        <f t="shared" si="3"/>
        <v>55+</v>
      </c>
    </row>
    <row r="198" spans="1:7" x14ac:dyDescent="0.25">
      <c r="A198" s="9" t="s">
        <v>212</v>
      </c>
      <c r="B198" s="6">
        <v>60</v>
      </c>
      <c r="C198" s="6" t="s">
        <v>14</v>
      </c>
      <c r="D198" s="6" t="s">
        <v>32</v>
      </c>
      <c r="E198" s="6">
        <v>72184</v>
      </c>
      <c r="F198" s="11" t="s">
        <v>9</v>
      </c>
      <c r="G198" s="6" t="str">
        <f t="shared" si="3"/>
        <v>55+</v>
      </c>
    </row>
    <row r="199" spans="1:7" x14ac:dyDescent="0.25">
      <c r="A199" s="9" t="s">
        <v>213</v>
      </c>
      <c r="B199" s="6">
        <v>57</v>
      </c>
      <c r="C199" s="6" t="s">
        <v>7</v>
      </c>
      <c r="D199" s="6" t="s">
        <v>18</v>
      </c>
      <c r="E199" s="6">
        <v>79730</v>
      </c>
      <c r="F199" s="11" t="s">
        <v>9</v>
      </c>
      <c r="G199" s="6" t="str">
        <f t="shared" si="3"/>
        <v>55+</v>
      </c>
    </row>
    <row r="200" spans="1:7" x14ac:dyDescent="0.25">
      <c r="A200" s="9" t="s">
        <v>214</v>
      </c>
      <c r="B200" s="6">
        <v>51</v>
      </c>
      <c r="C200" s="6" t="s">
        <v>14</v>
      </c>
      <c r="D200" s="6" t="s">
        <v>18</v>
      </c>
      <c r="E200" s="6">
        <v>80679</v>
      </c>
      <c r="F200" s="11" t="s">
        <v>9</v>
      </c>
      <c r="G200" s="6" t="str">
        <f t="shared" si="3"/>
        <v>45-54</v>
      </c>
    </row>
    <row r="201" spans="1:7" x14ac:dyDescent="0.25">
      <c r="A201" s="9" t="s">
        <v>215</v>
      </c>
      <c r="B201" s="6">
        <v>38</v>
      </c>
      <c r="C201" s="6" t="s">
        <v>14</v>
      </c>
      <c r="D201" s="6" t="s">
        <v>23</v>
      </c>
      <c r="E201" s="6">
        <v>76688</v>
      </c>
      <c r="F201" s="11" t="s">
        <v>20</v>
      </c>
      <c r="G201" s="6" t="str">
        <f t="shared" si="3"/>
        <v>35-44</v>
      </c>
    </row>
    <row r="202" spans="1:7" x14ac:dyDescent="0.25">
      <c r="A202" s="9" t="s">
        <v>216</v>
      </c>
      <c r="B202" s="6">
        <v>27</v>
      </c>
      <c r="C202" s="6" t="s">
        <v>7</v>
      </c>
      <c r="D202" s="6" t="s">
        <v>18</v>
      </c>
      <c r="E202" s="6">
        <v>64151</v>
      </c>
      <c r="F202" s="11" t="s">
        <v>9</v>
      </c>
      <c r="G202" s="6" t="str">
        <f t="shared" si="3"/>
        <v>25-34</v>
      </c>
    </row>
    <row r="203" spans="1:7" x14ac:dyDescent="0.25">
      <c r="A203" s="9" t="s">
        <v>217</v>
      </c>
      <c r="B203" s="6">
        <v>57</v>
      </c>
      <c r="C203" s="6" t="s">
        <v>7</v>
      </c>
      <c r="D203" s="6" t="s">
        <v>11</v>
      </c>
      <c r="E203" s="6">
        <v>79234</v>
      </c>
      <c r="F203" s="11" t="s">
        <v>9</v>
      </c>
      <c r="G203" s="6" t="str">
        <f t="shared" si="3"/>
        <v>55+</v>
      </c>
    </row>
    <row r="204" spans="1:7" x14ac:dyDescent="0.25">
      <c r="A204" s="9" t="s">
        <v>218</v>
      </c>
      <c r="B204" s="6">
        <v>48</v>
      </c>
      <c r="C204" s="6" t="s">
        <v>14</v>
      </c>
      <c r="D204" s="6" t="s">
        <v>8</v>
      </c>
      <c r="E204" s="6">
        <v>62018</v>
      </c>
      <c r="F204" s="11" t="s">
        <v>9</v>
      </c>
      <c r="G204" s="6" t="str">
        <f t="shared" si="3"/>
        <v>45-54</v>
      </c>
    </row>
    <row r="205" spans="1:7" x14ac:dyDescent="0.25">
      <c r="A205" s="9" t="s">
        <v>219</v>
      </c>
      <c r="B205" s="6">
        <v>25</v>
      </c>
      <c r="C205" s="6" t="s">
        <v>14</v>
      </c>
      <c r="D205" s="6" t="s">
        <v>11</v>
      </c>
      <c r="E205" s="6">
        <v>46497</v>
      </c>
      <c r="F205" s="11" t="s">
        <v>9</v>
      </c>
      <c r="G205" s="6" t="str">
        <f t="shared" si="3"/>
        <v>25-34</v>
      </c>
    </row>
    <row r="206" spans="1:7" x14ac:dyDescent="0.25">
      <c r="A206" s="9" t="s">
        <v>220</v>
      </c>
      <c r="B206" s="6">
        <v>31</v>
      </c>
      <c r="C206" s="6" t="s">
        <v>14</v>
      </c>
      <c r="D206" s="6" t="s">
        <v>23</v>
      </c>
      <c r="E206" s="6">
        <v>71213</v>
      </c>
      <c r="F206" s="11" t="s">
        <v>9</v>
      </c>
      <c r="G206" s="6" t="str">
        <f t="shared" si="3"/>
        <v>25-34</v>
      </c>
    </row>
    <row r="207" spans="1:7" x14ac:dyDescent="0.25">
      <c r="A207" s="9" t="s">
        <v>221</v>
      </c>
      <c r="B207" s="6">
        <v>29</v>
      </c>
      <c r="C207" s="6" t="s">
        <v>14</v>
      </c>
      <c r="D207" s="6" t="s">
        <v>11</v>
      </c>
      <c r="E207" s="6">
        <v>51024</v>
      </c>
      <c r="F207" s="11" t="s">
        <v>9</v>
      </c>
      <c r="G207" s="6" t="str">
        <f t="shared" si="3"/>
        <v>25-34</v>
      </c>
    </row>
    <row r="208" spans="1:7" x14ac:dyDescent="0.25">
      <c r="A208" s="9" t="s">
        <v>222</v>
      </c>
      <c r="B208" s="6">
        <v>57</v>
      </c>
      <c r="C208" s="6" t="s">
        <v>7</v>
      </c>
      <c r="D208" s="6" t="s">
        <v>11</v>
      </c>
      <c r="E208" s="6">
        <v>80894</v>
      </c>
      <c r="F208" s="11" t="s">
        <v>9</v>
      </c>
      <c r="G208" s="6" t="str">
        <f t="shared" si="3"/>
        <v>55+</v>
      </c>
    </row>
    <row r="209" spans="1:7" x14ac:dyDescent="0.25">
      <c r="A209" s="9" t="s">
        <v>223</v>
      </c>
      <c r="B209" s="6">
        <v>33</v>
      </c>
      <c r="C209" s="6" t="s">
        <v>14</v>
      </c>
      <c r="D209" s="6" t="s">
        <v>8</v>
      </c>
      <c r="E209" s="6">
        <v>51965</v>
      </c>
      <c r="F209" s="11" t="s">
        <v>9</v>
      </c>
      <c r="G209" s="6" t="str">
        <f t="shared" si="3"/>
        <v>25-34</v>
      </c>
    </row>
    <row r="210" spans="1:7" x14ac:dyDescent="0.25">
      <c r="A210" s="9" t="s">
        <v>224</v>
      </c>
      <c r="B210" s="6">
        <v>33</v>
      </c>
      <c r="C210" s="6" t="s">
        <v>7</v>
      </c>
      <c r="D210" s="6" t="s">
        <v>11</v>
      </c>
      <c r="E210" s="6">
        <v>52572</v>
      </c>
      <c r="F210" s="11" t="s">
        <v>9</v>
      </c>
      <c r="G210" s="6" t="str">
        <f t="shared" si="3"/>
        <v>25-34</v>
      </c>
    </row>
    <row r="211" spans="1:7" x14ac:dyDescent="0.25">
      <c r="A211" s="9" t="s">
        <v>225</v>
      </c>
      <c r="B211" s="6">
        <v>23</v>
      </c>
      <c r="C211" s="6" t="s">
        <v>7</v>
      </c>
      <c r="D211" s="6" t="s">
        <v>8</v>
      </c>
      <c r="E211" s="6">
        <v>39674</v>
      </c>
      <c r="F211" s="11" t="s">
        <v>9</v>
      </c>
      <c r="G211" s="6" t="str">
        <f t="shared" si="3"/>
        <v>&lt;25</v>
      </c>
    </row>
    <row r="212" spans="1:7" x14ac:dyDescent="0.25">
      <c r="A212" s="9" t="s">
        <v>226</v>
      </c>
      <c r="B212" s="6">
        <v>32</v>
      </c>
      <c r="C212" s="6" t="s">
        <v>14</v>
      </c>
      <c r="D212" s="6" t="s">
        <v>16</v>
      </c>
      <c r="E212" s="6">
        <v>51822</v>
      </c>
      <c r="F212" s="11" t="s">
        <v>9</v>
      </c>
      <c r="G212" s="6" t="str">
        <f t="shared" si="3"/>
        <v>25-34</v>
      </c>
    </row>
    <row r="213" spans="1:7" x14ac:dyDescent="0.25">
      <c r="A213" s="9" t="s">
        <v>227</v>
      </c>
      <c r="B213" s="6">
        <v>27</v>
      </c>
      <c r="C213" s="6" t="s">
        <v>7</v>
      </c>
      <c r="D213" s="6" t="s">
        <v>23</v>
      </c>
      <c r="E213" s="6">
        <v>68336</v>
      </c>
      <c r="F213" s="11" t="s">
        <v>9</v>
      </c>
      <c r="G213" s="6" t="str">
        <f t="shared" si="3"/>
        <v>25-34</v>
      </c>
    </row>
    <row r="214" spans="1:7" x14ac:dyDescent="0.25">
      <c r="A214" s="9" t="s">
        <v>228</v>
      </c>
      <c r="B214" s="6">
        <v>39</v>
      </c>
      <c r="C214" s="6" t="s">
        <v>14</v>
      </c>
      <c r="D214" s="6" t="s">
        <v>8</v>
      </c>
      <c r="E214" s="6">
        <v>51260</v>
      </c>
      <c r="F214" s="11" t="s">
        <v>9</v>
      </c>
      <c r="G214" s="6" t="str">
        <f t="shared" si="3"/>
        <v>35-44</v>
      </c>
    </row>
    <row r="215" spans="1:7" x14ac:dyDescent="0.25">
      <c r="A215" s="9" t="s">
        <v>229</v>
      </c>
      <c r="B215" s="6">
        <v>35</v>
      </c>
      <c r="C215" s="6" t="s">
        <v>7</v>
      </c>
      <c r="D215" s="6" t="s">
        <v>16</v>
      </c>
      <c r="E215" s="6">
        <v>48260</v>
      </c>
      <c r="F215" s="11" t="s">
        <v>9</v>
      </c>
      <c r="G215" s="6" t="str">
        <f t="shared" si="3"/>
        <v>35-44</v>
      </c>
    </row>
    <row r="216" spans="1:7" x14ac:dyDescent="0.25">
      <c r="A216" s="9" t="s">
        <v>230</v>
      </c>
      <c r="B216" s="6">
        <v>53</v>
      </c>
      <c r="C216" s="6" t="s">
        <v>14</v>
      </c>
      <c r="D216" s="6" t="s">
        <v>32</v>
      </c>
      <c r="E216" s="6">
        <v>64693</v>
      </c>
      <c r="F216" s="11" t="s">
        <v>20</v>
      </c>
      <c r="G216" s="6" t="str">
        <f t="shared" si="3"/>
        <v>45-54</v>
      </c>
    </row>
    <row r="217" spans="1:7" x14ac:dyDescent="0.25">
      <c r="A217" s="9" t="s">
        <v>231</v>
      </c>
      <c r="B217" s="6">
        <v>35</v>
      </c>
      <c r="C217" s="6" t="s">
        <v>14</v>
      </c>
      <c r="D217" s="6" t="s">
        <v>23</v>
      </c>
      <c r="E217" s="6">
        <v>77301</v>
      </c>
      <c r="F217" s="11" t="s">
        <v>9</v>
      </c>
      <c r="G217" s="6" t="str">
        <f t="shared" si="3"/>
        <v>35-44</v>
      </c>
    </row>
    <row r="218" spans="1:7" x14ac:dyDescent="0.25">
      <c r="A218" s="9" t="s">
        <v>232</v>
      </c>
      <c r="B218" s="6">
        <v>29</v>
      </c>
      <c r="C218" s="6" t="s">
        <v>7</v>
      </c>
      <c r="D218" s="6" t="s">
        <v>18</v>
      </c>
      <c r="E218" s="6">
        <v>62820</v>
      </c>
      <c r="F218" s="11" t="s">
        <v>9</v>
      </c>
      <c r="G218" s="6" t="str">
        <f t="shared" si="3"/>
        <v>25-34</v>
      </c>
    </row>
    <row r="219" spans="1:7" x14ac:dyDescent="0.25">
      <c r="A219" s="9" t="s">
        <v>233</v>
      </c>
      <c r="B219" s="6">
        <v>36</v>
      </c>
      <c r="C219" s="6" t="s">
        <v>14</v>
      </c>
      <c r="D219" s="6" t="s">
        <v>32</v>
      </c>
      <c r="E219" s="6">
        <v>55315</v>
      </c>
      <c r="F219" s="11" t="s">
        <v>9</v>
      </c>
      <c r="G219" s="6" t="str">
        <f t="shared" si="3"/>
        <v>35-44</v>
      </c>
    </row>
    <row r="220" spans="1:7" x14ac:dyDescent="0.25">
      <c r="A220" s="9" t="s">
        <v>234</v>
      </c>
      <c r="B220" s="6">
        <v>51</v>
      </c>
      <c r="C220" s="6" t="s">
        <v>7</v>
      </c>
      <c r="D220" s="6" t="s">
        <v>16</v>
      </c>
      <c r="E220" s="6">
        <v>62535</v>
      </c>
      <c r="F220" s="11" t="s">
        <v>9</v>
      </c>
      <c r="G220" s="6" t="str">
        <f t="shared" si="3"/>
        <v>45-54</v>
      </c>
    </row>
    <row r="221" spans="1:7" x14ac:dyDescent="0.25">
      <c r="A221" s="9" t="s">
        <v>235</v>
      </c>
      <c r="B221" s="6">
        <v>48</v>
      </c>
      <c r="C221" s="6" t="s">
        <v>14</v>
      </c>
      <c r="D221" s="6" t="s">
        <v>32</v>
      </c>
      <c r="E221" s="6">
        <v>64395</v>
      </c>
      <c r="F221" s="11" t="s">
        <v>9</v>
      </c>
      <c r="G221" s="6" t="str">
        <f t="shared" si="3"/>
        <v>45-54</v>
      </c>
    </row>
    <row r="222" spans="1:7" x14ac:dyDescent="0.25">
      <c r="A222" s="9" t="s">
        <v>236</v>
      </c>
      <c r="B222" s="6">
        <v>51</v>
      </c>
      <c r="C222" s="6" t="s">
        <v>14</v>
      </c>
      <c r="D222" s="6" t="s">
        <v>32</v>
      </c>
      <c r="E222" s="6">
        <v>59779</v>
      </c>
      <c r="F222" s="11" t="s">
        <v>9</v>
      </c>
      <c r="G222" s="6" t="str">
        <f t="shared" si="3"/>
        <v>45-54</v>
      </c>
    </row>
    <row r="223" spans="1:7" x14ac:dyDescent="0.25">
      <c r="A223" s="9" t="s">
        <v>237</v>
      </c>
      <c r="B223" s="6">
        <v>47</v>
      </c>
      <c r="C223" s="6" t="s">
        <v>7</v>
      </c>
      <c r="D223" s="6" t="s">
        <v>18</v>
      </c>
      <c r="E223" s="6">
        <v>82847</v>
      </c>
      <c r="F223" s="11" t="s">
        <v>9</v>
      </c>
      <c r="G223" s="6" t="str">
        <f t="shared" si="3"/>
        <v>45-54</v>
      </c>
    </row>
    <row r="224" spans="1:7" x14ac:dyDescent="0.25">
      <c r="A224" s="9" t="s">
        <v>238</v>
      </c>
      <c r="B224" s="6">
        <v>32</v>
      </c>
      <c r="C224" s="6" t="s">
        <v>7</v>
      </c>
      <c r="D224" s="6" t="s">
        <v>11</v>
      </c>
      <c r="E224" s="6">
        <v>55410</v>
      </c>
      <c r="F224" s="11" t="s">
        <v>9</v>
      </c>
      <c r="G224" s="6" t="str">
        <f t="shared" si="3"/>
        <v>25-34</v>
      </c>
    </row>
    <row r="225" spans="1:7" x14ac:dyDescent="0.25">
      <c r="A225" s="9" t="s">
        <v>239</v>
      </c>
      <c r="B225" s="6">
        <v>44</v>
      </c>
      <c r="C225" s="6" t="s">
        <v>14</v>
      </c>
      <c r="D225" s="6" t="s">
        <v>8</v>
      </c>
      <c r="E225" s="6">
        <v>60504</v>
      </c>
      <c r="F225" s="11" t="s">
        <v>9</v>
      </c>
      <c r="G225" s="6" t="str">
        <f t="shared" si="3"/>
        <v>35-44</v>
      </c>
    </row>
    <row r="226" spans="1:7" x14ac:dyDescent="0.25">
      <c r="A226" s="9" t="s">
        <v>240</v>
      </c>
      <c r="B226" s="6">
        <v>28</v>
      </c>
      <c r="C226" s="6" t="s">
        <v>7</v>
      </c>
      <c r="D226" s="6" t="s">
        <v>16</v>
      </c>
      <c r="E226" s="6">
        <v>45811</v>
      </c>
      <c r="F226" s="11" t="s">
        <v>9</v>
      </c>
      <c r="G226" s="6" t="str">
        <f t="shared" si="3"/>
        <v>25-34</v>
      </c>
    </row>
    <row r="227" spans="1:7" x14ac:dyDescent="0.25">
      <c r="A227" s="9" t="s">
        <v>241</v>
      </c>
      <c r="B227" s="6">
        <v>26</v>
      </c>
      <c r="C227" s="6" t="s">
        <v>7</v>
      </c>
      <c r="D227" s="6" t="s">
        <v>8</v>
      </c>
      <c r="E227" s="6">
        <v>44623</v>
      </c>
      <c r="F227" s="11" t="s">
        <v>9</v>
      </c>
      <c r="G227" s="6" t="str">
        <f t="shared" si="3"/>
        <v>25-34</v>
      </c>
    </row>
    <row r="228" spans="1:7" x14ac:dyDescent="0.25">
      <c r="A228" s="9" t="s">
        <v>242</v>
      </c>
      <c r="B228" s="6">
        <v>50</v>
      </c>
      <c r="C228" s="6" t="s">
        <v>14</v>
      </c>
      <c r="D228" s="6" t="s">
        <v>8</v>
      </c>
      <c r="E228" s="6">
        <v>55144</v>
      </c>
      <c r="F228" s="11" t="s">
        <v>9</v>
      </c>
      <c r="G228" s="6" t="str">
        <f t="shared" si="3"/>
        <v>45-54</v>
      </c>
    </row>
    <row r="229" spans="1:7" x14ac:dyDescent="0.25">
      <c r="A229" s="9" t="s">
        <v>243</v>
      </c>
      <c r="B229" s="6">
        <v>41</v>
      </c>
      <c r="C229" s="6" t="s">
        <v>14</v>
      </c>
      <c r="D229" s="6" t="s">
        <v>11</v>
      </c>
      <c r="E229" s="6">
        <v>56192</v>
      </c>
      <c r="F229" s="11" t="s">
        <v>9</v>
      </c>
      <c r="G229" s="6" t="str">
        <f t="shared" si="3"/>
        <v>35-44</v>
      </c>
    </row>
    <row r="230" spans="1:7" x14ac:dyDescent="0.25">
      <c r="A230" s="9" t="s">
        <v>244</v>
      </c>
      <c r="B230" s="6">
        <v>50</v>
      </c>
      <c r="C230" s="6" t="s">
        <v>7</v>
      </c>
      <c r="D230" s="6" t="s">
        <v>32</v>
      </c>
      <c r="E230" s="6">
        <v>59658</v>
      </c>
      <c r="F230" s="11" t="s">
        <v>9</v>
      </c>
      <c r="G230" s="6" t="str">
        <f t="shared" si="3"/>
        <v>45-54</v>
      </c>
    </row>
    <row r="231" spans="1:7" x14ac:dyDescent="0.25">
      <c r="A231" s="9" t="s">
        <v>245</v>
      </c>
      <c r="B231" s="6">
        <v>27</v>
      </c>
      <c r="C231" s="6" t="s">
        <v>14</v>
      </c>
      <c r="D231" s="6" t="s">
        <v>18</v>
      </c>
      <c r="E231" s="6">
        <v>67084</v>
      </c>
      <c r="F231" s="11" t="s">
        <v>9</v>
      </c>
      <c r="G231" s="6" t="str">
        <f t="shared" si="3"/>
        <v>25-34</v>
      </c>
    </row>
    <row r="232" spans="1:7" x14ac:dyDescent="0.25">
      <c r="A232" s="9" t="s">
        <v>246</v>
      </c>
      <c r="B232" s="6">
        <v>24</v>
      </c>
      <c r="C232" s="6" t="s">
        <v>14</v>
      </c>
      <c r="D232" s="6" t="s">
        <v>11</v>
      </c>
      <c r="E232" s="6">
        <v>48024</v>
      </c>
      <c r="F232" s="11" t="s">
        <v>9</v>
      </c>
      <c r="G232" s="6" t="str">
        <f t="shared" si="3"/>
        <v>&lt;25</v>
      </c>
    </row>
    <row r="233" spans="1:7" x14ac:dyDescent="0.25">
      <c r="A233" s="9" t="s">
        <v>247</v>
      </c>
      <c r="B233" s="6">
        <v>31</v>
      </c>
      <c r="C233" s="6" t="s">
        <v>7</v>
      </c>
      <c r="D233" s="6" t="s">
        <v>18</v>
      </c>
      <c r="E233" s="6">
        <v>67258</v>
      </c>
      <c r="F233" s="11" t="s">
        <v>9</v>
      </c>
      <c r="G233" s="6" t="str">
        <f t="shared" si="3"/>
        <v>25-34</v>
      </c>
    </row>
    <row r="234" spans="1:7" x14ac:dyDescent="0.25">
      <c r="A234" s="9" t="s">
        <v>248</v>
      </c>
      <c r="B234" s="6">
        <v>27</v>
      </c>
      <c r="C234" s="6" t="s">
        <v>7</v>
      </c>
      <c r="D234" s="6" t="s">
        <v>32</v>
      </c>
      <c r="E234" s="6">
        <v>47121</v>
      </c>
      <c r="F234" s="11" t="s">
        <v>9</v>
      </c>
      <c r="G234" s="6" t="str">
        <f t="shared" si="3"/>
        <v>25-34</v>
      </c>
    </row>
    <row r="235" spans="1:7" x14ac:dyDescent="0.25">
      <c r="A235" s="9" t="s">
        <v>249</v>
      </c>
      <c r="B235" s="6">
        <v>55</v>
      </c>
      <c r="C235" s="6" t="s">
        <v>7</v>
      </c>
      <c r="D235" s="6" t="s">
        <v>16</v>
      </c>
      <c r="E235" s="6">
        <v>59615</v>
      </c>
      <c r="F235" s="11" t="s">
        <v>9</v>
      </c>
      <c r="G235" s="6" t="str">
        <f t="shared" si="3"/>
        <v>55+</v>
      </c>
    </row>
    <row r="236" spans="1:7" x14ac:dyDescent="0.25">
      <c r="A236" s="9" t="s">
        <v>250</v>
      </c>
      <c r="B236" s="6">
        <v>43</v>
      </c>
      <c r="C236" s="6" t="s">
        <v>7</v>
      </c>
      <c r="D236" s="6" t="s">
        <v>8</v>
      </c>
      <c r="E236" s="6">
        <v>51724</v>
      </c>
      <c r="F236" s="11" t="s">
        <v>20</v>
      </c>
      <c r="G236" s="6" t="str">
        <f t="shared" si="3"/>
        <v>35-44</v>
      </c>
    </row>
    <row r="237" spans="1:7" x14ac:dyDescent="0.25">
      <c r="A237" s="9" t="s">
        <v>251</v>
      </c>
      <c r="B237" s="6">
        <v>46</v>
      </c>
      <c r="C237" s="6" t="s">
        <v>14</v>
      </c>
      <c r="D237" s="6" t="s">
        <v>16</v>
      </c>
      <c r="E237" s="6">
        <v>61537</v>
      </c>
      <c r="F237" s="11" t="s">
        <v>9</v>
      </c>
      <c r="G237" s="6" t="str">
        <f t="shared" si="3"/>
        <v>45-54</v>
      </c>
    </row>
    <row r="238" spans="1:7" x14ac:dyDescent="0.25">
      <c r="A238" s="9" t="s">
        <v>252</v>
      </c>
      <c r="B238" s="6">
        <v>31</v>
      </c>
      <c r="C238" s="6" t="s">
        <v>14</v>
      </c>
      <c r="D238" s="6" t="s">
        <v>32</v>
      </c>
      <c r="E238" s="6">
        <v>48353</v>
      </c>
      <c r="F238" s="11" t="s">
        <v>9</v>
      </c>
      <c r="G238" s="6" t="str">
        <f t="shared" si="3"/>
        <v>25-34</v>
      </c>
    </row>
    <row r="239" spans="1:7" x14ac:dyDescent="0.25">
      <c r="A239" s="9" t="s">
        <v>253</v>
      </c>
      <c r="B239" s="6">
        <v>47</v>
      </c>
      <c r="C239" s="6" t="s">
        <v>7</v>
      </c>
      <c r="D239" s="6" t="s">
        <v>11</v>
      </c>
      <c r="E239" s="6">
        <v>63538</v>
      </c>
      <c r="F239" s="11" t="s">
        <v>9</v>
      </c>
      <c r="G239" s="6" t="str">
        <f t="shared" si="3"/>
        <v>45-54</v>
      </c>
    </row>
    <row r="240" spans="1:7" x14ac:dyDescent="0.25">
      <c r="A240" s="9" t="s">
        <v>254</v>
      </c>
      <c r="B240" s="6">
        <v>43</v>
      </c>
      <c r="C240" s="6" t="s">
        <v>7</v>
      </c>
      <c r="D240" s="6" t="s">
        <v>8</v>
      </c>
      <c r="E240" s="6">
        <v>59356</v>
      </c>
      <c r="F240" s="11" t="s">
        <v>9</v>
      </c>
      <c r="G240" s="6" t="str">
        <f t="shared" si="3"/>
        <v>35-44</v>
      </c>
    </row>
    <row r="241" spans="1:7" x14ac:dyDescent="0.25">
      <c r="A241" s="9" t="s">
        <v>255</v>
      </c>
      <c r="B241" s="6">
        <v>55</v>
      </c>
      <c r="C241" s="6" t="s">
        <v>7</v>
      </c>
      <c r="D241" s="6" t="s">
        <v>8</v>
      </c>
      <c r="E241" s="6">
        <v>64330</v>
      </c>
      <c r="F241" s="11" t="s">
        <v>20</v>
      </c>
      <c r="G241" s="6" t="str">
        <f t="shared" si="3"/>
        <v>55+</v>
      </c>
    </row>
    <row r="242" spans="1:7" x14ac:dyDescent="0.25">
      <c r="A242" s="9" t="s">
        <v>256</v>
      </c>
      <c r="B242" s="6">
        <v>41</v>
      </c>
      <c r="C242" s="6" t="s">
        <v>7</v>
      </c>
      <c r="D242" s="6" t="s">
        <v>23</v>
      </c>
      <c r="E242" s="6">
        <v>77975</v>
      </c>
      <c r="F242" s="11" t="s">
        <v>9</v>
      </c>
      <c r="G242" s="6" t="str">
        <f t="shared" si="3"/>
        <v>35-44</v>
      </c>
    </row>
    <row r="243" spans="1:7" x14ac:dyDescent="0.25">
      <c r="A243" s="9" t="s">
        <v>257</v>
      </c>
      <c r="B243" s="6">
        <v>30</v>
      </c>
      <c r="C243" s="6" t="s">
        <v>7</v>
      </c>
      <c r="D243" s="6" t="s">
        <v>32</v>
      </c>
      <c r="E243" s="6">
        <v>51688</v>
      </c>
      <c r="F243" s="11" t="s">
        <v>9</v>
      </c>
      <c r="G243" s="6" t="str">
        <f t="shared" si="3"/>
        <v>25-34</v>
      </c>
    </row>
    <row r="244" spans="1:7" x14ac:dyDescent="0.25">
      <c r="A244" s="9" t="s">
        <v>258</v>
      </c>
      <c r="B244" s="6">
        <v>56</v>
      </c>
      <c r="C244" s="6" t="s">
        <v>7</v>
      </c>
      <c r="D244" s="6" t="s">
        <v>8</v>
      </c>
      <c r="E244" s="6">
        <v>61455</v>
      </c>
      <c r="F244" s="11" t="s">
        <v>9</v>
      </c>
      <c r="G244" s="6" t="str">
        <f t="shared" si="3"/>
        <v>55+</v>
      </c>
    </row>
    <row r="245" spans="1:7" x14ac:dyDescent="0.25">
      <c r="A245" s="9" t="s">
        <v>259</v>
      </c>
      <c r="B245" s="6">
        <v>46</v>
      </c>
      <c r="C245" s="6" t="s">
        <v>7</v>
      </c>
      <c r="D245" s="6" t="s">
        <v>23</v>
      </c>
      <c r="E245" s="6">
        <v>78312</v>
      </c>
      <c r="F245" s="11" t="s">
        <v>9</v>
      </c>
      <c r="G245" s="6" t="str">
        <f t="shared" si="3"/>
        <v>45-54</v>
      </c>
    </row>
    <row r="246" spans="1:7" x14ac:dyDescent="0.25">
      <c r="A246" s="9" t="s">
        <v>260</v>
      </c>
      <c r="B246" s="6">
        <v>32</v>
      </c>
      <c r="C246" s="6" t="s">
        <v>14</v>
      </c>
      <c r="D246" s="6" t="s">
        <v>32</v>
      </c>
      <c r="E246" s="6">
        <v>52465</v>
      </c>
      <c r="F246" s="11" t="s">
        <v>9</v>
      </c>
      <c r="G246" s="6" t="str">
        <f t="shared" si="3"/>
        <v>25-34</v>
      </c>
    </row>
    <row r="247" spans="1:7" x14ac:dyDescent="0.25">
      <c r="A247" s="9" t="s">
        <v>261</v>
      </c>
      <c r="B247" s="6">
        <v>50</v>
      </c>
      <c r="C247" s="6" t="s">
        <v>14</v>
      </c>
      <c r="D247" s="6" t="s">
        <v>8</v>
      </c>
      <c r="E247" s="6">
        <v>60045</v>
      </c>
      <c r="F247" s="11" t="s">
        <v>9</v>
      </c>
      <c r="G247" s="6" t="str">
        <f t="shared" si="3"/>
        <v>45-54</v>
      </c>
    </row>
    <row r="248" spans="1:7" x14ac:dyDescent="0.25">
      <c r="A248" s="9" t="s">
        <v>262</v>
      </c>
      <c r="B248" s="6">
        <v>52</v>
      </c>
      <c r="C248" s="6" t="s">
        <v>7</v>
      </c>
      <c r="D248" s="6" t="s">
        <v>16</v>
      </c>
      <c r="E248" s="6">
        <v>64737</v>
      </c>
      <c r="F248" s="11" t="s">
        <v>9</v>
      </c>
      <c r="G248" s="6" t="str">
        <f t="shared" si="3"/>
        <v>45-54</v>
      </c>
    </row>
    <row r="249" spans="1:7" x14ac:dyDescent="0.25">
      <c r="A249" s="9" t="s">
        <v>263</v>
      </c>
      <c r="B249" s="6">
        <v>40</v>
      </c>
      <c r="C249" s="6" t="s">
        <v>14</v>
      </c>
      <c r="D249" s="6" t="s">
        <v>11</v>
      </c>
      <c r="E249" s="6">
        <v>63677</v>
      </c>
      <c r="F249" s="11" t="s">
        <v>9</v>
      </c>
      <c r="G249" s="6" t="str">
        <f t="shared" si="3"/>
        <v>35-44</v>
      </c>
    </row>
    <row r="250" spans="1:7" x14ac:dyDescent="0.25">
      <c r="A250" s="9" t="s">
        <v>264</v>
      </c>
      <c r="B250" s="6">
        <v>60</v>
      </c>
      <c r="C250" s="6" t="s">
        <v>7</v>
      </c>
      <c r="D250" s="6" t="s">
        <v>16</v>
      </c>
      <c r="E250" s="6">
        <v>58036</v>
      </c>
      <c r="F250" s="11" t="s">
        <v>9</v>
      </c>
      <c r="G250" s="6" t="str">
        <f t="shared" si="3"/>
        <v>55+</v>
      </c>
    </row>
    <row r="251" spans="1:7" x14ac:dyDescent="0.25">
      <c r="A251" s="12" t="s">
        <v>265</v>
      </c>
      <c r="B251" s="13">
        <v>28</v>
      </c>
      <c r="C251" s="13" t="s">
        <v>7</v>
      </c>
      <c r="D251" s="13" t="s">
        <v>16</v>
      </c>
      <c r="E251" s="13">
        <v>41934</v>
      </c>
      <c r="F251" s="14" t="s">
        <v>9</v>
      </c>
      <c r="G251" s="13" t="str">
        <f t="shared" si="3"/>
        <v>25-34</v>
      </c>
    </row>
  </sheetData>
  <conditionalFormatting sqref="A1:F251">
    <cfRule type="containsBlanks" dxfId="206" priority="1">
      <formula>LEN(TRIM(A1))=0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A0CB-FD8A-44A2-BD06-24E05807B502}">
  <dimension ref="A1:Z160"/>
  <sheetViews>
    <sheetView zoomScale="93" zoomScaleNormal="93" workbookViewId="0">
      <selection activeCell="R17" sqref="R17"/>
    </sheetView>
  </sheetViews>
  <sheetFormatPr defaultRowHeight="15" x14ac:dyDescent="0.25"/>
  <cols>
    <col min="1" max="1" width="15.7109375" customWidth="1"/>
    <col min="2" max="2" width="16.28515625" customWidth="1"/>
    <col min="3" max="3" width="5.5703125" bestFit="1" customWidth="1"/>
    <col min="4" max="4" width="9.140625" bestFit="1" customWidth="1"/>
    <col min="5" max="5" width="9.28515625" customWidth="1"/>
    <col min="6" max="6" width="5.5703125" bestFit="1" customWidth="1"/>
    <col min="7" max="7" width="9" bestFit="1" customWidth="1"/>
    <col min="8" max="8" width="8.5703125" customWidth="1"/>
  </cols>
  <sheetData>
    <row r="1" spans="1:26" ht="31.5" x14ac:dyDescent="0.25">
      <c r="A1" s="5" t="s">
        <v>269</v>
      </c>
      <c r="B1" s="5" t="s">
        <v>268</v>
      </c>
      <c r="D1" s="3"/>
      <c r="E1" s="3"/>
      <c r="F1" s="15"/>
      <c r="G1" s="15"/>
      <c r="H1" s="15"/>
      <c r="I1" s="15"/>
      <c r="J1" s="15"/>
      <c r="K1" s="15"/>
      <c r="L1" s="15"/>
      <c r="M1" s="15"/>
      <c r="P1" s="15"/>
      <c r="Q1" s="15"/>
      <c r="R1" s="15"/>
      <c r="S1" s="15"/>
    </row>
    <row r="2" spans="1:26" ht="31.5" x14ac:dyDescent="0.25">
      <c r="A2" s="4"/>
      <c r="B2" s="3" t="s">
        <v>20</v>
      </c>
      <c r="C2" s="3"/>
      <c r="D2" s="24" t="s">
        <v>270</v>
      </c>
      <c r="E2" s="4" t="s">
        <v>267</v>
      </c>
      <c r="F2" s="15"/>
      <c r="G2" s="15"/>
      <c r="H2" s="15"/>
      <c r="I2" s="15"/>
      <c r="J2" s="15"/>
      <c r="K2" s="15"/>
      <c r="L2" s="15"/>
      <c r="M2" s="15"/>
      <c r="P2" s="15"/>
      <c r="Q2" s="15"/>
      <c r="R2" s="15"/>
      <c r="S2" s="15"/>
      <c r="T2" s="15"/>
      <c r="U2" s="15"/>
      <c r="V2" s="15"/>
      <c r="W2" s="15"/>
      <c r="X2" s="15"/>
      <c r="Y2" s="15"/>
      <c r="Z2" s="15"/>
    </row>
    <row r="3" spans="1:26" ht="15.75" x14ac:dyDescent="0.25">
      <c r="A3" s="5" t="s">
        <v>266</v>
      </c>
      <c r="B3" t="s">
        <v>14</v>
      </c>
      <c r="C3" t="s">
        <v>7</v>
      </c>
      <c r="D3" s="24"/>
      <c r="E3" s="4"/>
      <c r="F3" s="15"/>
      <c r="G3" s="15"/>
      <c r="H3" s="15"/>
      <c r="I3" s="15"/>
      <c r="J3" s="15"/>
      <c r="K3" s="15"/>
      <c r="L3" s="15"/>
      <c r="M3" s="15"/>
      <c r="P3" s="15"/>
      <c r="Q3" s="15"/>
      <c r="R3" s="15"/>
      <c r="S3" s="15"/>
      <c r="T3" s="15"/>
      <c r="U3" s="15"/>
      <c r="V3" s="15"/>
      <c r="W3" s="15"/>
      <c r="X3" s="15"/>
      <c r="Y3" s="15"/>
      <c r="Z3" s="15"/>
    </row>
    <row r="4" spans="1:26" x14ac:dyDescent="0.25">
      <c r="A4" s="2" t="s">
        <v>18</v>
      </c>
      <c r="B4" s="28">
        <v>3</v>
      </c>
      <c r="C4" s="28">
        <v>7</v>
      </c>
      <c r="D4" s="28">
        <v>10</v>
      </c>
      <c r="E4" s="28">
        <v>10</v>
      </c>
      <c r="F4" s="15"/>
      <c r="G4" s="15"/>
      <c r="H4" s="15"/>
      <c r="I4" s="15"/>
      <c r="J4" s="15"/>
      <c r="K4" s="15"/>
      <c r="L4" s="15"/>
      <c r="M4" s="15"/>
      <c r="P4" s="15"/>
      <c r="Q4" s="15"/>
      <c r="R4" s="15"/>
      <c r="S4" s="15"/>
      <c r="T4" s="15"/>
      <c r="U4" s="15"/>
      <c r="V4" s="15"/>
      <c r="W4" s="15"/>
      <c r="X4" s="15"/>
      <c r="Y4" s="15"/>
      <c r="Z4" s="15"/>
    </row>
    <row r="5" spans="1:26" x14ac:dyDescent="0.25">
      <c r="A5" s="2" t="s">
        <v>16</v>
      </c>
      <c r="B5" s="28">
        <v>1</v>
      </c>
      <c r="C5" s="28">
        <v>2</v>
      </c>
      <c r="D5" s="28">
        <v>3</v>
      </c>
      <c r="E5" s="28">
        <v>3</v>
      </c>
      <c r="F5" s="15"/>
      <c r="G5" s="15"/>
      <c r="H5" s="15"/>
      <c r="I5" s="15"/>
      <c r="J5" s="15"/>
      <c r="K5" s="15"/>
      <c r="L5" s="15"/>
      <c r="M5" s="15"/>
      <c r="P5" s="15"/>
      <c r="Q5" s="15"/>
      <c r="R5" s="15"/>
      <c r="S5" s="15"/>
      <c r="T5" s="15"/>
      <c r="U5" s="15"/>
      <c r="V5" s="15"/>
      <c r="W5" s="15"/>
      <c r="X5" s="15"/>
      <c r="Y5" s="15"/>
      <c r="Z5" s="15"/>
    </row>
    <row r="6" spans="1:26" x14ac:dyDescent="0.25">
      <c r="A6" s="2" t="s">
        <v>23</v>
      </c>
      <c r="B6" s="28">
        <v>6</v>
      </c>
      <c r="C6" s="28">
        <v>1</v>
      </c>
      <c r="D6" s="28">
        <v>7</v>
      </c>
      <c r="E6" s="28">
        <v>7</v>
      </c>
      <c r="F6" s="15"/>
      <c r="G6" s="15"/>
      <c r="H6" s="15"/>
      <c r="I6" s="15"/>
      <c r="J6" s="15"/>
      <c r="K6" s="15"/>
      <c r="L6" s="15"/>
      <c r="M6" s="15"/>
      <c r="P6" s="15"/>
      <c r="Q6" s="15"/>
      <c r="R6" s="15"/>
      <c r="S6" s="15"/>
      <c r="T6" s="15"/>
      <c r="U6" s="15"/>
      <c r="V6" s="15"/>
      <c r="W6" s="15"/>
      <c r="X6" s="15"/>
      <c r="Y6" s="15"/>
      <c r="Z6" s="15"/>
    </row>
    <row r="7" spans="1:26" x14ac:dyDescent="0.25">
      <c r="A7" s="2" t="s">
        <v>11</v>
      </c>
      <c r="B7" s="28">
        <v>5</v>
      </c>
      <c r="C7" s="28"/>
      <c r="D7" s="28">
        <v>5</v>
      </c>
      <c r="E7" s="28">
        <v>5</v>
      </c>
      <c r="F7" s="15"/>
      <c r="G7" s="15"/>
      <c r="H7" s="15"/>
      <c r="I7" s="15"/>
      <c r="J7" s="15"/>
      <c r="K7" s="15"/>
      <c r="L7" s="15"/>
      <c r="M7" s="15"/>
      <c r="P7" s="15"/>
      <c r="Q7" s="15"/>
      <c r="R7" s="15"/>
      <c r="S7" s="15"/>
      <c r="T7" s="15"/>
      <c r="U7" s="15"/>
      <c r="V7" s="15"/>
      <c r="W7" s="15"/>
      <c r="X7" s="15"/>
      <c r="Y7" s="15"/>
      <c r="Z7" s="15"/>
    </row>
    <row r="8" spans="1:26" x14ac:dyDescent="0.25">
      <c r="A8" s="2" t="s">
        <v>8</v>
      </c>
      <c r="B8" s="28"/>
      <c r="C8" s="28">
        <v>5</v>
      </c>
      <c r="D8" s="28">
        <v>5</v>
      </c>
      <c r="E8" s="28">
        <v>5</v>
      </c>
      <c r="F8" s="15"/>
      <c r="G8" s="15"/>
      <c r="H8" s="15"/>
      <c r="I8" s="15"/>
      <c r="J8" s="15"/>
      <c r="K8" s="15"/>
      <c r="L8" s="15"/>
      <c r="M8" s="15"/>
      <c r="P8" s="15"/>
      <c r="Q8" s="15"/>
      <c r="R8" s="15"/>
      <c r="S8" s="15"/>
      <c r="T8" s="15"/>
      <c r="U8" s="15"/>
      <c r="V8" s="15"/>
      <c r="W8" s="15"/>
      <c r="X8" s="15"/>
      <c r="Y8" s="15"/>
      <c r="Z8" s="15"/>
    </row>
    <row r="9" spans="1:26" x14ac:dyDescent="0.25">
      <c r="A9" s="2" t="s">
        <v>32</v>
      </c>
      <c r="B9" s="28">
        <v>2</v>
      </c>
      <c r="C9" s="28">
        <v>2</v>
      </c>
      <c r="D9" s="28">
        <v>4</v>
      </c>
      <c r="E9" s="28">
        <v>4</v>
      </c>
      <c r="F9" s="15"/>
      <c r="G9" s="15"/>
      <c r="H9" s="15"/>
      <c r="I9" s="15"/>
      <c r="J9" s="15"/>
      <c r="K9" s="15"/>
      <c r="L9" s="15"/>
      <c r="M9" s="15"/>
      <c r="P9" s="15"/>
      <c r="Q9" s="15"/>
      <c r="R9" s="15"/>
      <c r="S9" s="15"/>
      <c r="T9" s="15"/>
      <c r="U9" s="15"/>
      <c r="V9" s="15"/>
      <c r="W9" s="15"/>
      <c r="X9" s="15"/>
      <c r="Y9" s="15"/>
      <c r="Z9" s="15"/>
    </row>
    <row r="10" spans="1:26" x14ac:dyDescent="0.25">
      <c r="A10" s="2" t="s">
        <v>267</v>
      </c>
      <c r="B10" s="28">
        <v>17</v>
      </c>
      <c r="C10" s="28">
        <v>17</v>
      </c>
      <c r="D10" s="28">
        <v>34</v>
      </c>
      <c r="E10" s="28">
        <v>34</v>
      </c>
      <c r="F10" s="15"/>
      <c r="G10" s="15"/>
      <c r="H10" s="15"/>
      <c r="I10" s="15"/>
      <c r="J10" s="15"/>
      <c r="K10" s="15"/>
      <c r="L10" s="15"/>
      <c r="M10" s="15"/>
      <c r="P10" s="15"/>
      <c r="Q10" s="15"/>
      <c r="R10" s="15"/>
      <c r="S10" s="15"/>
      <c r="T10" s="15"/>
      <c r="U10" s="15"/>
      <c r="V10" s="15"/>
      <c r="W10" s="15"/>
      <c r="X10" s="15"/>
      <c r="Y10" s="15"/>
      <c r="Z10" s="15"/>
    </row>
    <row r="11" spans="1:26" x14ac:dyDescent="0.25">
      <c r="A11" s="15"/>
      <c r="B11" s="15"/>
      <c r="C11" s="15"/>
      <c r="D11" s="15"/>
      <c r="E11" s="15"/>
      <c r="F11" s="15"/>
      <c r="G11" s="15"/>
      <c r="H11" s="15"/>
      <c r="I11" s="15"/>
      <c r="J11" s="15"/>
      <c r="K11" s="15"/>
      <c r="L11" s="15"/>
      <c r="M11" s="15"/>
      <c r="P11" s="15"/>
      <c r="Q11" s="15"/>
      <c r="R11" s="15"/>
      <c r="S11" s="15"/>
      <c r="T11" s="15"/>
      <c r="U11" s="15"/>
      <c r="V11" s="15"/>
      <c r="W11" s="15"/>
      <c r="X11" s="15"/>
      <c r="Y11" s="15"/>
      <c r="Z11" s="15"/>
    </row>
    <row r="12" spans="1:26" x14ac:dyDescent="0.25">
      <c r="A12" s="15"/>
      <c r="B12" s="15"/>
      <c r="C12" s="15"/>
      <c r="D12" s="15"/>
      <c r="E12" s="15"/>
      <c r="F12" s="15"/>
      <c r="G12" s="15"/>
      <c r="H12" s="15"/>
      <c r="I12" s="15"/>
      <c r="J12" s="15"/>
      <c r="K12" s="15"/>
      <c r="L12" s="15"/>
      <c r="M12" s="15"/>
      <c r="P12" s="15"/>
      <c r="Q12" s="15"/>
      <c r="R12" s="15"/>
      <c r="S12" s="15"/>
      <c r="T12" s="15"/>
      <c r="U12" s="15"/>
      <c r="V12" s="15"/>
      <c r="W12" s="15"/>
      <c r="X12" s="15"/>
      <c r="Y12" s="15"/>
      <c r="Z12" s="15"/>
    </row>
    <row r="13" spans="1:26" x14ac:dyDescent="0.25">
      <c r="A13" s="15"/>
      <c r="B13" s="15"/>
      <c r="C13" s="15"/>
      <c r="D13" s="15"/>
      <c r="E13" s="15"/>
      <c r="F13" s="15"/>
      <c r="G13" s="15"/>
      <c r="H13" s="15"/>
      <c r="I13" s="15"/>
      <c r="J13" s="15"/>
      <c r="K13" s="15"/>
      <c r="L13" s="15"/>
      <c r="M13" s="15"/>
      <c r="P13" s="15"/>
      <c r="Q13" s="15"/>
      <c r="R13" s="15"/>
      <c r="S13" s="15"/>
      <c r="T13" s="15"/>
      <c r="U13" s="15"/>
      <c r="V13" s="15"/>
      <c r="W13" s="15"/>
      <c r="X13" s="15"/>
      <c r="Y13" s="15"/>
      <c r="Z13" s="15"/>
    </row>
    <row r="14" spans="1:26" ht="15.75" thickBot="1" x14ac:dyDescent="0.3">
      <c r="A14" s="15"/>
      <c r="B14" s="15"/>
      <c r="C14" s="15"/>
      <c r="D14" s="15"/>
      <c r="E14" s="15"/>
      <c r="F14" s="15"/>
      <c r="G14" s="15"/>
      <c r="H14" s="15"/>
      <c r="I14" s="15"/>
      <c r="J14" s="15"/>
      <c r="K14" s="15"/>
      <c r="L14" s="15"/>
      <c r="M14" s="15"/>
      <c r="P14" s="15"/>
      <c r="Q14" s="15"/>
      <c r="R14" s="15"/>
      <c r="S14" s="15"/>
      <c r="T14" s="15"/>
      <c r="U14" s="15"/>
      <c r="V14" s="15"/>
      <c r="W14" s="15"/>
      <c r="X14" s="15"/>
      <c r="Y14" s="15"/>
      <c r="Z14" s="15"/>
    </row>
    <row r="15" spans="1:26" ht="16.5" x14ac:dyDescent="0.3">
      <c r="A15" s="16" t="s">
        <v>271</v>
      </c>
      <c r="B15" s="17" t="s">
        <v>272</v>
      </c>
      <c r="C15" s="15"/>
      <c r="D15" s="15"/>
      <c r="E15" s="15"/>
      <c r="F15" s="15"/>
      <c r="G15" s="15"/>
      <c r="H15" s="15"/>
      <c r="I15" s="15"/>
      <c r="J15" s="15"/>
      <c r="K15" s="15"/>
      <c r="L15" s="15"/>
      <c r="M15" s="15"/>
      <c r="P15" s="15"/>
      <c r="Q15" s="15"/>
      <c r="R15" s="15"/>
      <c r="S15" s="15"/>
      <c r="T15" s="15"/>
      <c r="U15" s="15"/>
      <c r="V15" s="15"/>
      <c r="W15" s="15"/>
      <c r="X15" s="15"/>
      <c r="Y15" s="15"/>
      <c r="Z15" s="15"/>
    </row>
    <row r="16" spans="1:26" ht="16.5" x14ac:dyDescent="0.3">
      <c r="A16" s="18" t="s">
        <v>20</v>
      </c>
      <c r="B16" s="19">
        <f>COUNTIF(Table1[AttritionStatus],"Yes")</f>
        <v>34</v>
      </c>
      <c r="C16" s="15"/>
      <c r="D16" s="15"/>
      <c r="E16" s="15"/>
      <c r="F16" s="15"/>
      <c r="G16" s="15"/>
      <c r="H16" s="15"/>
      <c r="I16" s="15"/>
      <c r="J16" s="15"/>
      <c r="K16" s="15"/>
      <c r="L16" s="15"/>
      <c r="M16" s="15"/>
      <c r="P16" s="15"/>
      <c r="Q16" s="15"/>
      <c r="R16" s="15"/>
      <c r="S16" s="23"/>
      <c r="T16" s="15"/>
      <c r="U16" s="15"/>
      <c r="V16" s="15"/>
      <c r="W16" s="15"/>
      <c r="X16" s="15"/>
      <c r="Y16" s="15"/>
      <c r="Z16" s="15"/>
    </row>
    <row r="17" spans="1:26" ht="17.25" thickBot="1" x14ac:dyDescent="0.35">
      <c r="A17" s="20" t="s">
        <v>9</v>
      </c>
      <c r="B17" s="21">
        <f>COUNTIF(Table1[AttritionStatus],"No")</f>
        <v>216</v>
      </c>
      <c r="C17" s="15"/>
      <c r="D17" s="15"/>
      <c r="E17" s="15"/>
      <c r="F17" s="15"/>
      <c r="G17" s="15"/>
      <c r="H17" s="15"/>
      <c r="I17" s="15"/>
      <c r="J17" s="15"/>
      <c r="K17" s="15"/>
      <c r="L17" s="15"/>
      <c r="M17" s="15"/>
      <c r="P17" s="15"/>
      <c r="Q17" s="15"/>
      <c r="R17" s="15"/>
      <c r="S17" s="15"/>
      <c r="T17" s="15"/>
      <c r="U17" s="15"/>
      <c r="V17" s="15"/>
      <c r="W17" s="15"/>
      <c r="X17" s="15"/>
      <c r="Y17" s="15"/>
      <c r="Z17" s="15"/>
    </row>
    <row r="18" spans="1:26"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25">
      <c r="A30" s="15"/>
      <c r="B30" s="15"/>
      <c r="C30" s="15"/>
      <c r="D30" s="15"/>
      <c r="E30" s="15"/>
      <c r="F30" s="15"/>
      <c r="G30" s="15"/>
      <c r="H30" s="15"/>
      <c r="I30" s="15"/>
      <c r="J30" s="15"/>
      <c r="K30" s="15"/>
      <c r="L30" s="15"/>
      <c r="M30" s="15"/>
      <c r="P30" s="15"/>
      <c r="Q30" s="15"/>
      <c r="R30" s="15"/>
      <c r="S30" s="15"/>
      <c r="T30" s="15"/>
      <c r="U30" s="15"/>
      <c r="V30" s="15"/>
      <c r="W30" s="15"/>
      <c r="X30" s="15"/>
      <c r="Y30" s="15"/>
      <c r="Z30" s="15"/>
    </row>
    <row r="31" spans="1:26" x14ac:dyDescent="0.25">
      <c r="A31" s="15"/>
      <c r="B31" s="15"/>
      <c r="C31" s="15"/>
      <c r="D31" s="15"/>
      <c r="E31" s="15"/>
      <c r="F31" s="15"/>
      <c r="G31" s="15"/>
      <c r="H31" s="15"/>
      <c r="I31" s="15"/>
      <c r="P31" s="15"/>
      <c r="Q31" s="15"/>
      <c r="R31" s="15"/>
      <c r="S31" s="15"/>
      <c r="T31" s="15"/>
      <c r="U31" s="15"/>
      <c r="V31" s="15"/>
      <c r="W31" s="15"/>
      <c r="X31" s="15"/>
      <c r="Y31" s="15"/>
      <c r="Z31" s="15"/>
    </row>
    <row r="32" spans="1:26" x14ac:dyDescent="0.25">
      <c r="A32" s="15"/>
      <c r="B32" s="15"/>
      <c r="C32" s="15"/>
      <c r="D32" s="15"/>
      <c r="E32" s="15"/>
      <c r="F32" s="15"/>
      <c r="G32" s="15"/>
      <c r="H32" s="15"/>
      <c r="I32" s="15"/>
      <c r="P32" s="15"/>
      <c r="Q32" s="15"/>
      <c r="R32" s="15"/>
      <c r="S32" s="15"/>
      <c r="T32" s="15"/>
      <c r="U32" s="15"/>
      <c r="V32" s="15"/>
      <c r="W32" s="15"/>
      <c r="X32" s="15"/>
      <c r="Y32" s="15"/>
      <c r="Z32" s="15"/>
    </row>
    <row r="33" spans="1:26"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25">
      <c r="A36" s="15"/>
      <c r="B36" s="15"/>
      <c r="C36" s="15"/>
      <c r="D36" s="15"/>
      <c r="E36" s="15"/>
      <c r="G36" s="15"/>
      <c r="H36" s="15"/>
      <c r="I36" s="15"/>
      <c r="J36" s="15"/>
      <c r="K36" s="15"/>
      <c r="L36" s="15"/>
      <c r="M36" s="15"/>
      <c r="N36" s="15"/>
      <c r="O36" s="15"/>
      <c r="P36" s="15"/>
      <c r="Q36" s="15"/>
      <c r="R36" s="15"/>
      <c r="S36" s="15"/>
    </row>
    <row r="37" spans="1:26" x14ac:dyDescent="0.25">
      <c r="A37" s="15"/>
      <c r="B37" s="15"/>
      <c r="C37" s="15"/>
      <c r="D37" s="15"/>
      <c r="E37" s="15"/>
      <c r="G37" s="15"/>
      <c r="H37" s="15"/>
      <c r="I37" s="15"/>
      <c r="J37" s="15"/>
      <c r="K37" s="15"/>
      <c r="L37" s="15"/>
      <c r="M37" s="15"/>
      <c r="N37" s="15"/>
      <c r="O37" s="15"/>
      <c r="P37" s="15"/>
      <c r="Q37" s="15"/>
      <c r="R37" s="15"/>
      <c r="S37" s="15"/>
    </row>
    <row r="38" spans="1:26" x14ac:dyDescent="0.25">
      <c r="A38" s="15"/>
      <c r="B38" s="15"/>
      <c r="C38" s="15"/>
      <c r="D38" s="15"/>
      <c r="E38" s="15"/>
      <c r="G38" s="15"/>
      <c r="H38" s="15"/>
      <c r="I38" s="15"/>
      <c r="J38" s="15"/>
      <c r="K38" s="15"/>
      <c r="L38" s="15"/>
      <c r="M38" s="15"/>
      <c r="N38" s="15"/>
      <c r="O38" s="15"/>
      <c r="P38" s="15"/>
      <c r="Q38" s="15"/>
      <c r="R38" s="15"/>
      <c r="S38" s="15"/>
    </row>
    <row r="39" spans="1:26" x14ac:dyDescent="0.25">
      <c r="A39" s="15"/>
      <c r="B39" s="15"/>
      <c r="C39" s="15"/>
      <c r="D39" s="15"/>
      <c r="E39" s="15"/>
      <c r="G39" s="15"/>
      <c r="H39" s="15"/>
      <c r="I39" s="15"/>
      <c r="J39" s="15"/>
      <c r="K39" s="15"/>
      <c r="L39" s="15"/>
      <c r="M39" s="15"/>
      <c r="N39" s="15"/>
      <c r="O39" s="15"/>
      <c r="P39" s="15"/>
      <c r="Q39" s="15"/>
      <c r="R39" s="15"/>
      <c r="S39" s="15"/>
    </row>
    <row r="40" spans="1:26" x14ac:dyDescent="0.25">
      <c r="A40" s="15"/>
      <c r="B40" s="15"/>
      <c r="C40" s="15"/>
      <c r="D40" s="15"/>
      <c r="E40" s="15"/>
      <c r="G40" s="15"/>
      <c r="H40" s="15"/>
      <c r="I40" s="15"/>
      <c r="J40" s="15"/>
      <c r="K40" s="15"/>
      <c r="L40" s="15"/>
      <c r="M40" s="15"/>
      <c r="N40" s="15"/>
      <c r="O40" s="15"/>
      <c r="P40" s="15"/>
      <c r="Q40" s="15"/>
      <c r="R40" s="15"/>
      <c r="S40" s="15"/>
    </row>
    <row r="41" spans="1:26" x14ac:dyDescent="0.25">
      <c r="C41" s="15"/>
      <c r="D41" s="15"/>
      <c r="E41" s="15"/>
      <c r="G41" s="15"/>
      <c r="H41" s="15"/>
      <c r="I41" s="15"/>
      <c r="J41" s="15"/>
      <c r="K41" s="15"/>
      <c r="L41" s="15"/>
      <c r="M41" s="15"/>
      <c r="N41" s="15"/>
      <c r="O41" s="15"/>
      <c r="P41" s="15"/>
      <c r="Q41" s="15"/>
      <c r="R41" s="15"/>
      <c r="S41" s="15"/>
    </row>
    <row r="42" spans="1:26" x14ac:dyDescent="0.25">
      <c r="C42" s="15"/>
      <c r="D42" s="15"/>
      <c r="E42" s="15"/>
      <c r="G42" s="15"/>
      <c r="H42" s="15"/>
      <c r="I42" s="15"/>
      <c r="J42" s="15"/>
      <c r="K42" s="15"/>
      <c r="L42" s="15"/>
      <c r="M42" s="15"/>
      <c r="N42" s="15"/>
      <c r="O42" s="15"/>
      <c r="P42" s="15"/>
      <c r="Q42" s="15"/>
      <c r="R42" s="15"/>
      <c r="S42" s="15"/>
    </row>
    <row r="43" spans="1:26" x14ac:dyDescent="0.25">
      <c r="C43" s="15"/>
      <c r="D43" s="15"/>
      <c r="E43" s="15"/>
      <c r="G43" s="15"/>
      <c r="H43" s="15"/>
      <c r="I43" s="15"/>
      <c r="J43" s="15"/>
      <c r="K43" s="15"/>
      <c r="L43" s="15"/>
      <c r="M43" s="15"/>
      <c r="N43" s="15"/>
      <c r="O43" s="15"/>
      <c r="P43" s="15"/>
      <c r="Q43" s="15"/>
      <c r="R43" s="15"/>
      <c r="S43" s="15"/>
    </row>
    <row r="44" spans="1:26" x14ac:dyDescent="0.25">
      <c r="G44" s="15"/>
      <c r="H44" s="15"/>
      <c r="I44" s="15"/>
      <c r="J44" s="15"/>
      <c r="K44" s="15"/>
      <c r="L44" s="15"/>
      <c r="M44" s="15"/>
      <c r="N44" s="15"/>
      <c r="O44" s="15"/>
      <c r="P44" s="15"/>
      <c r="Q44" s="15"/>
      <c r="R44" s="15"/>
      <c r="S44" s="15"/>
    </row>
    <row r="45" spans="1:26" x14ac:dyDescent="0.25">
      <c r="G45" s="15"/>
      <c r="H45" s="15"/>
      <c r="I45" s="15"/>
      <c r="J45" s="15"/>
      <c r="K45" s="15"/>
      <c r="L45" s="15"/>
      <c r="M45" s="15"/>
      <c r="N45" s="15"/>
      <c r="O45" s="15"/>
      <c r="P45" s="15"/>
      <c r="Q45" s="15"/>
      <c r="R45" s="15"/>
      <c r="S45" s="15"/>
    </row>
    <row r="46" spans="1:26" x14ac:dyDescent="0.25">
      <c r="G46" s="15"/>
      <c r="H46" s="15"/>
      <c r="I46" s="15"/>
      <c r="J46" s="15"/>
      <c r="K46" s="15"/>
      <c r="L46" s="15"/>
      <c r="M46" s="15"/>
      <c r="N46" s="15"/>
      <c r="O46" s="15"/>
      <c r="P46" s="15"/>
      <c r="Q46" s="15"/>
      <c r="R46" s="15"/>
      <c r="S46" s="15"/>
    </row>
    <row r="47" spans="1:26" x14ac:dyDescent="0.25">
      <c r="G47" s="15"/>
      <c r="H47" s="15"/>
      <c r="I47" s="15"/>
      <c r="J47" s="15"/>
      <c r="K47" s="15"/>
      <c r="L47" s="15"/>
      <c r="M47" s="15"/>
      <c r="N47" s="15"/>
      <c r="O47" s="15"/>
      <c r="P47" s="15"/>
      <c r="Q47" s="15"/>
      <c r="R47" s="15"/>
      <c r="S47" s="15"/>
    </row>
    <row r="48" spans="1:26" x14ac:dyDescent="0.25">
      <c r="G48" s="15"/>
      <c r="H48" s="15"/>
      <c r="I48" s="15"/>
      <c r="J48" s="15"/>
      <c r="K48" s="15"/>
      <c r="L48" s="15"/>
      <c r="M48" s="15"/>
      <c r="N48" s="15"/>
      <c r="O48" s="15"/>
      <c r="P48" s="15"/>
      <c r="Q48" s="15"/>
      <c r="R48" s="15"/>
      <c r="S48" s="15"/>
    </row>
    <row r="49" spans="7:19" x14ac:dyDescent="0.25">
      <c r="G49" s="15"/>
      <c r="H49" s="15"/>
      <c r="I49" s="15"/>
      <c r="J49" s="15"/>
      <c r="K49" s="15"/>
      <c r="L49" s="15"/>
      <c r="M49" s="15"/>
      <c r="N49" s="15"/>
      <c r="O49" s="15"/>
      <c r="P49" s="15"/>
      <c r="Q49" s="15"/>
      <c r="R49" s="15"/>
      <c r="S49" s="15"/>
    </row>
    <row r="50" spans="7:19" x14ac:dyDescent="0.25">
      <c r="G50" s="15"/>
      <c r="H50" s="15"/>
      <c r="I50" s="15"/>
      <c r="J50" s="15"/>
      <c r="K50" s="15"/>
      <c r="L50" s="15"/>
      <c r="M50" s="15"/>
      <c r="N50" s="15"/>
      <c r="O50" s="15"/>
      <c r="P50" s="15"/>
      <c r="Q50" s="15"/>
      <c r="R50" s="15"/>
      <c r="S50" s="15"/>
    </row>
    <row r="51" spans="7:19" x14ac:dyDescent="0.25">
      <c r="G51" s="15"/>
      <c r="H51" s="15"/>
      <c r="I51" s="15"/>
      <c r="J51" s="15"/>
      <c r="K51" s="15"/>
      <c r="L51" s="15"/>
      <c r="M51" s="15"/>
      <c r="N51" s="15"/>
      <c r="O51" s="15"/>
      <c r="P51" s="15"/>
      <c r="Q51" s="15"/>
      <c r="R51" s="15"/>
      <c r="S51" s="15"/>
    </row>
    <row r="52" spans="7:19" x14ac:dyDescent="0.25">
      <c r="G52" s="15"/>
      <c r="H52" s="15"/>
      <c r="I52" s="15"/>
      <c r="J52" s="15"/>
      <c r="K52" s="15"/>
      <c r="L52" s="15"/>
      <c r="M52" s="15"/>
      <c r="N52" s="15"/>
      <c r="O52" s="15"/>
      <c r="P52" s="15"/>
      <c r="Q52" s="15"/>
      <c r="R52" s="15"/>
      <c r="S52" s="15"/>
    </row>
    <row r="53" spans="7:19" x14ac:dyDescent="0.25">
      <c r="G53" s="15"/>
      <c r="H53" s="15"/>
      <c r="I53" s="15"/>
      <c r="J53" s="15"/>
      <c r="K53" s="15"/>
      <c r="L53" s="15"/>
      <c r="M53" s="15"/>
      <c r="N53" s="15"/>
      <c r="O53" s="15"/>
      <c r="P53" s="15"/>
      <c r="Q53" s="15"/>
      <c r="R53" s="15"/>
      <c r="S53" s="15"/>
    </row>
    <row r="54" spans="7:19" x14ac:dyDescent="0.25">
      <c r="G54" s="15"/>
      <c r="H54" s="15"/>
      <c r="I54" s="15"/>
      <c r="J54" s="15"/>
      <c r="K54" s="15"/>
      <c r="L54" s="15"/>
      <c r="M54" s="15"/>
      <c r="N54" s="15"/>
      <c r="O54" s="15"/>
      <c r="P54" s="15"/>
      <c r="Q54" s="15"/>
      <c r="R54" s="15"/>
    </row>
    <row r="55" spans="7:19" x14ac:dyDescent="0.25">
      <c r="G55" s="15"/>
      <c r="H55" s="15"/>
      <c r="I55" s="15"/>
      <c r="J55" s="15"/>
      <c r="K55" s="15"/>
      <c r="L55" s="15"/>
      <c r="M55" s="15"/>
      <c r="N55" s="15"/>
      <c r="O55" s="15"/>
      <c r="P55" s="15"/>
      <c r="Q55" s="15"/>
      <c r="R55" s="15"/>
    </row>
    <row r="56" spans="7:19" x14ac:dyDescent="0.25">
      <c r="G56" s="15"/>
      <c r="H56" s="15"/>
      <c r="I56" s="15"/>
      <c r="J56" s="15"/>
      <c r="K56" s="15"/>
      <c r="L56" s="15"/>
      <c r="M56" s="15"/>
      <c r="N56" s="15"/>
      <c r="O56" s="15"/>
      <c r="P56" s="15"/>
      <c r="Q56" s="15"/>
      <c r="R56" s="15"/>
    </row>
    <row r="57" spans="7:19" x14ac:dyDescent="0.25">
      <c r="G57" s="15"/>
      <c r="H57" s="15"/>
      <c r="I57" s="15"/>
      <c r="J57" s="15"/>
      <c r="K57" s="15"/>
      <c r="L57" s="15"/>
      <c r="M57" s="15"/>
      <c r="N57" s="15"/>
      <c r="O57" s="15"/>
      <c r="P57" s="15"/>
      <c r="Q57" s="15"/>
      <c r="R57" s="15"/>
    </row>
    <row r="58" spans="7:19" x14ac:dyDescent="0.25">
      <c r="G58" s="15"/>
      <c r="H58" s="15"/>
      <c r="I58" s="15"/>
      <c r="J58" s="15"/>
      <c r="K58" s="15"/>
      <c r="L58" s="15"/>
      <c r="M58" s="15"/>
      <c r="N58" s="15"/>
      <c r="O58" s="15"/>
      <c r="P58" s="15"/>
      <c r="Q58" s="15"/>
      <c r="R58" s="15"/>
    </row>
    <row r="59" spans="7:19" x14ac:dyDescent="0.25">
      <c r="G59" s="15"/>
      <c r="H59" s="15"/>
      <c r="I59" s="15"/>
      <c r="J59" s="15"/>
      <c r="K59" s="15"/>
      <c r="L59" s="15"/>
      <c r="M59" s="15"/>
      <c r="N59" s="15"/>
      <c r="O59" s="15"/>
      <c r="P59" s="15"/>
      <c r="Q59" s="15"/>
      <c r="R59" s="15"/>
    </row>
    <row r="60" spans="7:19" x14ac:dyDescent="0.25">
      <c r="G60" s="15"/>
      <c r="H60" s="15"/>
      <c r="I60" s="15"/>
      <c r="J60" s="15"/>
      <c r="K60" s="15"/>
      <c r="L60" s="15"/>
      <c r="M60" s="15"/>
      <c r="N60" s="15"/>
      <c r="O60" s="15"/>
      <c r="P60" s="15"/>
      <c r="Q60" s="15"/>
      <c r="R60" s="15"/>
    </row>
    <row r="61" spans="7:19" x14ac:dyDescent="0.25">
      <c r="G61" s="15"/>
      <c r="H61" s="15"/>
      <c r="I61" s="15"/>
      <c r="J61" s="15"/>
      <c r="K61" s="15"/>
      <c r="L61" s="15"/>
      <c r="M61" s="15"/>
      <c r="N61" s="15"/>
      <c r="O61" s="15"/>
      <c r="P61" s="15"/>
      <c r="Q61" s="15"/>
      <c r="R61" s="15"/>
    </row>
    <row r="62" spans="7:19" x14ac:dyDescent="0.25">
      <c r="G62" s="15"/>
      <c r="H62" s="15"/>
      <c r="I62" s="15"/>
      <c r="J62" s="15"/>
      <c r="K62" s="15"/>
      <c r="L62" s="15"/>
      <c r="M62" s="15"/>
      <c r="N62" s="15"/>
      <c r="O62" s="15"/>
      <c r="P62" s="15"/>
      <c r="Q62" s="15"/>
      <c r="R62" s="15"/>
    </row>
    <row r="63" spans="7:19" x14ac:dyDescent="0.25">
      <c r="G63" s="15"/>
      <c r="H63" s="15"/>
      <c r="I63" s="15"/>
      <c r="J63" s="15"/>
      <c r="K63" s="15"/>
      <c r="L63" s="15"/>
      <c r="M63" s="15"/>
      <c r="N63" s="15"/>
      <c r="O63" s="15"/>
      <c r="P63" s="15"/>
      <c r="Q63" s="15"/>
      <c r="R63" s="15"/>
    </row>
    <row r="64" spans="7:19" x14ac:dyDescent="0.25">
      <c r="G64" s="15"/>
      <c r="H64" s="15"/>
      <c r="I64" s="15"/>
      <c r="J64" s="15"/>
      <c r="K64" s="15"/>
      <c r="L64" s="15"/>
      <c r="M64" s="15"/>
      <c r="N64" s="15"/>
      <c r="O64" s="15"/>
      <c r="P64" s="15"/>
      <c r="Q64" s="15"/>
      <c r="R64" s="15"/>
    </row>
    <row r="65" spans="7:18" x14ac:dyDescent="0.25">
      <c r="G65" s="15"/>
      <c r="H65" s="15"/>
      <c r="I65" s="15"/>
      <c r="J65" s="15"/>
      <c r="K65" s="15"/>
      <c r="L65" s="15"/>
      <c r="M65" s="15"/>
      <c r="N65" s="15"/>
      <c r="O65" s="15"/>
      <c r="P65" s="15"/>
      <c r="Q65" s="15"/>
      <c r="R65" s="15"/>
    </row>
    <row r="66" spans="7:18" x14ac:dyDescent="0.25">
      <c r="G66" s="15"/>
      <c r="H66" s="15"/>
      <c r="I66" s="15"/>
      <c r="J66" s="15"/>
      <c r="K66" s="15"/>
      <c r="L66" s="15"/>
      <c r="M66" s="15"/>
      <c r="N66" s="15"/>
      <c r="O66" s="15"/>
      <c r="P66" s="15"/>
      <c r="Q66" s="15"/>
      <c r="R66" s="15"/>
    </row>
    <row r="67" spans="7:18" x14ac:dyDescent="0.25">
      <c r="G67" s="15"/>
      <c r="H67" s="15"/>
      <c r="I67" s="15"/>
      <c r="J67" s="15"/>
      <c r="K67" s="15"/>
      <c r="L67" s="15"/>
      <c r="M67" s="15"/>
      <c r="N67" s="15"/>
      <c r="O67" s="15"/>
      <c r="P67" s="15"/>
      <c r="Q67" s="15"/>
      <c r="R67" s="15"/>
    </row>
    <row r="68" spans="7:18" x14ac:dyDescent="0.25">
      <c r="G68" s="15"/>
      <c r="H68" s="15"/>
      <c r="I68" s="15"/>
      <c r="J68" s="15"/>
      <c r="K68" s="15"/>
      <c r="L68" s="15"/>
      <c r="M68" s="15"/>
      <c r="N68" s="15"/>
      <c r="O68" s="15"/>
      <c r="P68" s="15"/>
      <c r="Q68" s="15"/>
      <c r="R68" s="15"/>
    </row>
    <row r="69" spans="7:18" x14ac:dyDescent="0.25">
      <c r="G69" s="15"/>
      <c r="H69" s="15"/>
      <c r="I69" s="15"/>
      <c r="J69" s="15"/>
      <c r="K69" s="15"/>
      <c r="L69" s="15"/>
      <c r="M69" s="15"/>
      <c r="N69" s="15"/>
      <c r="O69" s="15"/>
      <c r="P69" s="15"/>
      <c r="Q69" s="15"/>
      <c r="R69" s="15"/>
    </row>
    <row r="70" spans="7:18" x14ac:dyDescent="0.25">
      <c r="H70" s="15"/>
      <c r="I70" s="15"/>
      <c r="P70" s="15"/>
      <c r="Q70" s="15"/>
      <c r="R70" s="15"/>
    </row>
    <row r="71" spans="7:18" x14ac:dyDescent="0.25">
      <c r="H71" s="15"/>
      <c r="I71" s="15"/>
      <c r="P71" s="15"/>
      <c r="Q71" s="15"/>
      <c r="R71" s="15"/>
    </row>
    <row r="72" spans="7:18" x14ac:dyDescent="0.25">
      <c r="H72" s="15"/>
      <c r="I72" s="15"/>
      <c r="P72" s="15"/>
      <c r="Q72" s="15"/>
      <c r="R72" s="15"/>
    </row>
    <row r="73" spans="7:18" x14ac:dyDescent="0.25">
      <c r="H73" s="15"/>
      <c r="I73" s="15"/>
      <c r="P73" s="15"/>
      <c r="Q73" s="15"/>
      <c r="R73" s="15"/>
    </row>
    <row r="74" spans="7:18" x14ac:dyDescent="0.25">
      <c r="H74" s="15"/>
      <c r="I74" s="15"/>
      <c r="P74" s="15"/>
      <c r="Q74" s="15"/>
      <c r="R74" s="15"/>
    </row>
    <row r="75" spans="7:18" x14ac:dyDescent="0.25">
      <c r="H75" s="15"/>
      <c r="I75" s="15"/>
      <c r="P75" s="15"/>
      <c r="Q75" s="15"/>
      <c r="R75" s="15"/>
    </row>
    <row r="76" spans="7:18" x14ac:dyDescent="0.25">
      <c r="H76" s="15"/>
      <c r="I76" s="15"/>
      <c r="P76" s="15"/>
      <c r="Q76" s="15"/>
      <c r="R76" s="15"/>
    </row>
    <row r="77" spans="7:18" x14ac:dyDescent="0.25">
      <c r="H77" s="15"/>
      <c r="I77" s="15"/>
      <c r="P77" s="15"/>
      <c r="Q77" s="15"/>
      <c r="R77" s="15"/>
    </row>
    <row r="78" spans="7:18" x14ac:dyDescent="0.25">
      <c r="H78" s="15"/>
      <c r="I78" s="15"/>
      <c r="P78" s="15"/>
      <c r="Q78" s="15"/>
      <c r="R78" s="15"/>
    </row>
    <row r="79" spans="7:18" x14ac:dyDescent="0.25">
      <c r="H79" s="15"/>
      <c r="I79" s="15"/>
      <c r="P79" s="15"/>
      <c r="Q79" s="15"/>
      <c r="R79" s="15"/>
    </row>
    <row r="80" spans="7:18" x14ac:dyDescent="0.25">
      <c r="H80" s="15"/>
      <c r="I80" s="15"/>
      <c r="P80" s="15"/>
      <c r="Q80" s="15"/>
      <c r="R80" s="15"/>
    </row>
    <row r="81" spans="8:18" x14ac:dyDescent="0.25">
      <c r="H81" s="15"/>
      <c r="I81" s="15"/>
      <c r="P81" s="15"/>
      <c r="Q81" s="15"/>
      <c r="R81" s="15"/>
    </row>
    <row r="82" spans="8:18" x14ac:dyDescent="0.25">
      <c r="H82" s="15"/>
      <c r="I82" s="15"/>
      <c r="P82" s="15"/>
      <c r="Q82" s="15"/>
      <c r="R82" s="15"/>
    </row>
    <row r="83" spans="8:18" x14ac:dyDescent="0.25">
      <c r="H83" s="15"/>
      <c r="I83" s="15"/>
      <c r="P83" s="15"/>
      <c r="Q83" s="15"/>
      <c r="R83" s="15"/>
    </row>
    <row r="84" spans="8:18" x14ac:dyDescent="0.25">
      <c r="H84" s="15"/>
      <c r="I84" s="15"/>
      <c r="P84" s="15"/>
      <c r="Q84" s="15"/>
      <c r="R84" s="15"/>
    </row>
    <row r="85" spans="8:18" x14ac:dyDescent="0.25">
      <c r="H85" s="15"/>
      <c r="I85" s="15"/>
      <c r="P85" s="15"/>
      <c r="Q85" s="15"/>
      <c r="R85" s="15"/>
    </row>
    <row r="86" spans="8:18" x14ac:dyDescent="0.25">
      <c r="P86" s="15"/>
      <c r="Q86" s="15"/>
      <c r="R86" s="15"/>
    </row>
    <row r="87" spans="8:18" x14ac:dyDescent="0.25">
      <c r="P87" s="15"/>
      <c r="Q87" s="15"/>
      <c r="R87" s="15"/>
    </row>
    <row r="88" spans="8:18" x14ac:dyDescent="0.25">
      <c r="P88" s="15"/>
      <c r="Q88" s="15"/>
      <c r="R88" s="15"/>
    </row>
    <row r="89" spans="8:18" x14ac:dyDescent="0.25">
      <c r="P89" s="15"/>
      <c r="Q89" s="15"/>
      <c r="R89" s="15"/>
    </row>
    <row r="90" spans="8:18" x14ac:dyDescent="0.25">
      <c r="P90" s="15"/>
      <c r="Q90" s="15"/>
      <c r="R90" s="15"/>
    </row>
    <row r="91" spans="8:18" x14ac:dyDescent="0.25">
      <c r="P91" s="15"/>
      <c r="Q91" s="15"/>
      <c r="R91" s="15"/>
    </row>
    <row r="92" spans="8:18" x14ac:dyDescent="0.25">
      <c r="P92" s="15"/>
      <c r="Q92" s="15"/>
      <c r="R92" s="15"/>
    </row>
    <row r="93" spans="8:18" x14ac:dyDescent="0.25">
      <c r="P93" s="15"/>
      <c r="Q93" s="15"/>
      <c r="R93" s="15"/>
    </row>
    <row r="94" spans="8:18" x14ac:dyDescent="0.25">
      <c r="P94" s="15"/>
      <c r="Q94" s="15"/>
      <c r="R94" s="15"/>
    </row>
    <row r="95" spans="8:18" x14ac:dyDescent="0.25">
      <c r="P95" s="15"/>
      <c r="Q95" s="15"/>
      <c r="R95" s="15"/>
    </row>
    <row r="96" spans="8:18" x14ac:dyDescent="0.25">
      <c r="P96" s="15"/>
      <c r="Q96" s="15"/>
      <c r="R96" s="15"/>
    </row>
    <row r="97" spans="16:18" x14ac:dyDescent="0.25">
      <c r="P97" s="15"/>
      <c r="Q97" s="15"/>
      <c r="R97" s="15"/>
    </row>
    <row r="98" spans="16:18" x14ac:dyDescent="0.25">
      <c r="P98" s="15"/>
      <c r="Q98" s="15"/>
      <c r="R98" s="15"/>
    </row>
    <row r="99" spans="16:18" x14ac:dyDescent="0.25">
      <c r="P99" s="15"/>
      <c r="Q99" s="15"/>
      <c r="R99" s="15"/>
    </row>
    <row r="100" spans="16:18" x14ac:dyDescent="0.25">
      <c r="P100" s="15"/>
      <c r="Q100" s="15"/>
      <c r="R100" s="15"/>
    </row>
    <row r="101" spans="16:18" x14ac:dyDescent="0.25">
      <c r="P101" s="15"/>
      <c r="Q101" s="15"/>
      <c r="R101" s="15"/>
    </row>
    <row r="102" spans="16:18" x14ac:dyDescent="0.25">
      <c r="P102" s="15"/>
      <c r="Q102" s="15"/>
      <c r="R102" s="15"/>
    </row>
    <row r="103" spans="16:18" x14ac:dyDescent="0.25">
      <c r="P103" s="15"/>
      <c r="Q103" s="15"/>
      <c r="R103" s="15"/>
    </row>
    <row r="104" spans="16:18" x14ac:dyDescent="0.25">
      <c r="P104" s="15"/>
      <c r="Q104" s="15"/>
      <c r="R104" s="15"/>
    </row>
    <row r="105" spans="16:18" x14ac:dyDescent="0.25">
      <c r="P105" s="15"/>
      <c r="Q105" s="15"/>
      <c r="R105" s="15"/>
    </row>
    <row r="106" spans="16:18" x14ac:dyDescent="0.25">
      <c r="P106" s="15"/>
      <c r="Q106" s="15"/>
      <c r="R106" s="15"/>
    </row>
    <row r="107" spans="16:18" x14ac:dyDescent="0.25">
      <c r="P107" s="15"/>
      <c r="Q107" s="15"/>
      <c r="R107" s="15"/>
    </row>
    <row r="108" spans="16:18" x14ac:dyDescent="0.25">
      <c r="P108" s="15"/>
      <c r="Q108" s="15"/>
      <c r="R108" s="15"/>
    </row>
    <row r="109" spans="16:18" x14ac:dyDescent="0.25">
      <c r="P109" s="15"/>
      <c r="Q109" s="15"/>
      <c r="R109" s="15"/>
    </row>
    <row r="110" spans="16:18" x14ac:dyDescent="0.25">
      <c r="P110" s="15"/>
      <c r="Q110" s="15"/>
      <c r="R110" s="15"/>
    </row>
    <row r="111" spans="16:18" x14ac:dyDescent="0.25">
      <c r="P111" s="15"/>
      <c r="Q111" s="15"/>
      <c r="R111" s="15"/>
    </row>
    <row r="112" spans="16:18" x14ac:dyDescent="0.25">
      <c r="P112" s="15"/>
      <c r="Q112" s="15"/>
      <c r="R112" s="15"/>
    </row>
    <row r="113" spans="16:18" x14ac:dyDescent="0.25">
      <c r="P113" s="15"/>
      <c r="Q113" s="15"/>
      <c r="R113" s="15"/>
    </row>
    <row r="114" spans="16:18" x14ac:dyDescent="0.25">
      <c r="P114" s="15"/>
      <c r="Q114" s="15"/>
      <c r="R114" s="15"/>
    </row>
    <row r="115" spans="16:18" x14ac:dyDescent="0.25">
      <c r="P115" s="15"/>
      <c r="Q115" s="15"/>
      <c r="R115" s="15"/>
    </row>
    <row r="116" spans="16:18" x14ac:dyDescent="0.25">
      <c r="P116" s="15"/>
      <c r="Q116" s="15"/>
      <c r="R116" s="15"/>
    </row>
    <row r="117" spans="16:18" x14ac:dyDescent="0.25">
      <c r="P117" s="15"/>
      <c r="Q117" s="15"/>
      <c r="R117" s="15"/>
    </row>
    <row r="118" spans="16:18" x14ac:dyDescent="0.25">
      <c r="P118" s="15"/>
      <c r="Q118" s="15"/>
      <c r="R118" s="15"/>
    </row>
    <row r="119" spans="16:18" x14ac:dyDescent="0.25">
      <c r="P119" s="15"/>
      <c r="Q119" s="15"/>
      <c r="R119" s="15"/>
    </row>
    <row r="120" spans="16:18" x14ac:dyDescent="0.25">
      <c r="P120" s="15"/>
      <c r="Q120" s="15"/>
      <c r="R120" s="15"/>
    </row>
    <row r="121" spans="16:18" x14ac:dyDescent="0.25">
      <c r="P121" s="15"/>
      <c r="Q121" s="15"/>
      <c r="R121" s="15"/>
    </row>
    <row r="122" spans="16:18" x14ac:dyDescent="0.25">
      <c r="P122" s="15"/>
      <c r="Q122" s="15"/>
      <c r="R122" s="15"/>
    </row>
    <row r="123" spans="16:18" x14ac:dyDescent="0.25">
      <c r="P123" s="15"/>
      <c r="Q123" s="15"/>
      <c r="R123" s="15"/>
    </row>
    <row r="124" spans="16:18" x14ac:dyDescent="0.25">
      <c r="P124" s="15"/>
      <c r="Q124" s="15"/>
      <c r="R124" s="15"/>
    </row>
    <row r="125" spans="16:18" x14ac:dyDescent="0.25">
      <c r="P125" s="15"/>
      <c r="Q125" s="15"/>
      <c r="R125" s="15"/>
    </row>
    <row r="126" spans="16:18" x14ac:dyDescent="0.25">
      <c r="P126" s="15"/>
      <c r="Q126" s="15"/>
      <c r="R126" s="15"/>
    </row>
    <row r="127" spans="16:18" x14ac:dyDescent="0.25">
      <c r="P127" s="15"/>
      <c r="Q127" s="15"/>
      <c r="R127" s="15"/>
    </row>
    <row r="128" spans="16:18" x14ac:dyDescent="0.25">
      <c r="P128" s="15"/>
      <c r="Q128" s="15"/>
      <c r="R128" s="15"/>
    </row>
    <row r="129" spans="16:18" x14ac:dyDescent="0.25">
      <c r="P129" s="15"/>
      <c r="Q129" s="15"/>
      <c r="R129" s="15"/>
    </row>
    <row r="130" spans="16:18" x14ac:dyDescent="0.25">
      <c r="P130" s="15"/>
      <c r="Q130" s="15"/>
      <c r="R130" s="15"/>
    </row>
    <row r="131" spans="16:18" x14ac:dyDescent="0.25">
      <c r="P131" s="15"/>
      <c r="Q131" s="15"/>
      <c r="R131" s="15"/>
    </row>
    <row r="132" spans="16:18" x14ac:dyDescent="0.25">
      <c r="P132" s="15"/>
      <c r="Q132" s="15"/>
      <c r="R132" s="15"/>
    </row>
    <row r="133" spans="16:18" x14ac:dyDescent="0.25">
      <c r="P133" s="15"/>
      <c r="Q133" s="15"/>
      <c r="R133" s="15"/>
    </row>
    <row r="134" spans="16:18" x14ac:dyDescent="0.25">
      <c r="P134" s="15"/>
      <c r="Q134" s="15"/>
      <c r="R134" s="15"/>
    </row>
    <row r="135" spans="16:18" x14ac:dyDescent="0.25">
      <c r="P135" s="15"/>
      <c r="Q135" s="15"/>
      <c r="R135" s="15"/>
    </row>
    <row r="136" spans="16:18" x14ac:dyDescent="0.25">
      <c r="P136" s="15"/>
      <c r="Q136" s="15"/>
      <c r="R136" s="15"/>
    </row>
    <row r="137" spans="16:18" x14ac:dyDescent="0.25">
      <c r="P137" s="15"/>
      <c r="Q137" s="15"/>
      <c r="R137" s="15"/>
    </row>
    <row r="138" spans="16:18" x14ac:dyDescent="0.25">
      <c r="P138" s="15"/>
      <c r="Q138" s="15"/>
      <c r="R138" s="15"/>
    </row>
    <row r="139" spans="16:18" x14ac:dyDescent="0.25">
      <c r="P139" s="15"/>
      <c r="Q139" s="15"/>
      <c r="R139" s="15"/>
    </row>
    <row r="140" spans="16:18" x14ac:dyDescent="0.25">
      <c r="P140" s="15"/>
      <c r="Q140" s="15"/>
      <c r="R140" s="15"/>
    </row>
    <row r="141" spans="16:18" x14ac:dyDescent="0.25">
      <c r="P141" s="15"/>
      <c r="Q141" s="15"/>
      <c r="R141" s="15"/>
    </row>
    <row r="142" spans="16:18" x14ac:dyDescent="0.25">
      <c r="P142" s="15"/>
      <c r="Q142" s="15"/>
      <c r="R142" s="15"/>
    </row>
    <row r="143" spans="16:18" x14ac:dyDescent="0.25">
      <c r="P143" s="15"/>
      <c r="Q143" s="15"/>
      <c r="R143" s="15"/>
    </row>
    <row r="144" spans="16:18" x14ac:dyDescent="0.25">
      <c r="P144" s="15"/>
      <c r="Q144" s="15"/>
      <c r="R144" s="15"/>
    </row>
    <row r="145" spans="16:18" x14ac:dyDescent="0.25">
      <c r="P145" s="15"/>
      <c r="Q145" s="15"/>
      <c r="R145" s="15"/>
    </row>
    <row r="146" spans="16:18" x14ac:dyDescent="0.25">
      <c r="P146" s="15"/>
      <c r="Q146" s="15"/>
      <c r="R146" s="15"/>
    </row>
    <row r="147" spans="16:18" x14ac:dyDescent="0.25">
      <c r="P147" s="15"/>
      <c r="Q147" s="15"/>
      <c r="R147" s="15"/>
    </row>
    <row r="148" spans="16:18" x14ac:dyDescent="0.25">
      <c r="P148" s="15"/>
      <c r="Q148" s="15"/>
      <c r="R148" s="15"/>
    </row>
    <row r="149" spans="16:18" x14ac:dyDescent="0.25">
      <c r="P149" s="15"/>
      <c r="Q149" s="15"/>
      <c r="R149" s="15"/>
    </row>
    <row r="150" spans="16:18" x14ac:dyDescent="0.25">
      <c r="P150" s="15"/>
      <c r="Q150" s="15"/>
      <c r="R150" s="15"/>
    </row>
    <row r="151" spans="16:18" x14ac:dyDescent="0.25">
      <c r="P151" s="15"/>
      <c r="Q151" s="15"/>
      <c r="R151" s="15"/>
    </row>
    <row r="152" spans="16:18" x14ac:dyDescent="0.25">
      <c r="P152" s="15"/>
      <c r="Q152" s="15"/>
      <c r="R152" s="15"/>
    </row>
    <row r="153" spans="16:18" x14ac:dyDescent="0.25">
      <c r="P153" s="15"/>
      <c r="Q153" s="15"/>
      <c r="R153" s="15"/>
    </row>
    <row r="154" spans="16:18" x14ac:dyDescent="0.25">
      <c r="P154" s="15"/>
      <c r="Q154" s="15"/>
      <c r="R154" s="15"/>
    </row>
    <row r="155" spans="16:18" x14ac:dyDescent="0.25">
      <c r="P155" s="15"/>
      <c r="Q155" s="15"/>
      <c r="R155" s="15"/>
    </row>
    <row r="156" spans="16:18" x14ac:dyDescent="0.25">
      <c r="P156" s="15"/>
      <c r="Q156" s="15"/>
      <c r="R156" s="15"/>
    </row>
    <row r="157" spans="16:18" x14ac:dyDescent="0.25">
      <c r="P157" s="15"/>
      <c r="Q157" s="15"/>
      <c r="R157" s="15"/>
    </row>
    <row r="158" spans="16:18" x14ac:dyDescent="0.25">
      <c r="P158" s="15"/>
      <c r="Q158" s="15"/>
      <c r="R158" s="15"/>
    </row>
    <row r="159" spans="16:18" x14ac:dyDescent="0.25">
      <c r="P159" s="15"/>
      <c r="Q159" s="15"/>
      <c r="R159" s="15"/>
    </row>
    <row r="160" spans="16:18" x14ac:dyDescent="0.25">
      <c r="P160" s="15"/>
      <c r="Q160" s="15"/>
      <c r="R160" s="15"/>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E9821-9775-4496-84DF-436562A644F9}">
  <dimension ref="A1:R26"/>
  <sheetViews>
    <sheetView workbookViewId="0">
      <selection activeCell="M18" sqref="M18"/>
    </sheetView>
  </sheetViews>
  <sheetFormatPr defaultRowHeight="15" x14ac:dyDescent="0.25"/>
  <cols>
    <col min="1" max="1" width="13.140625" bestFit="1" customWidth="1"/>
    <col min="2" max="2" width="20" bestFit="1" customWidth="1"/>
    <col min="3" max="3" width="3.85546875" style="15" customWidth="1"/>
    <col min="4" max="4" width="12.85546875" bestFit="1" customWidth="1"/>
    <col min="10" max="10" width="21.7109375" style="15" customWidth="1"/>
    <col min="18" max="18" width="9.140625" style="15"/>
  </cols>
  <sheetData>
    <row r="1" spans="1:17" ht="12.75" customHeight="1" x14ac:dyDescent="0.25">
      <c r="A1" s="22" t="s">
        <v>266</v>
      </c>
      <c r="B1" t="s">
        <v>273</v>
      </c>
    </row>
    <row r="2" spans="1:17" x14ac:dyDescent="0.25">
      <c r="A2" s="2" t="s">
        <v>18</v>
      </c>
      <c r="B2" s="25">
        <v>75396.800000000003</v>
      </c>
    </row>
    <row r="3" spans="1:17" x14ac:dyDescent="0.25">
      <c r="A3" s="2" t="s">
        <v>16</v>
      </c>
      <c r="B3" s="25">
        <v>53244.945945945947</v>
      </c>
    </row>
    <row r="4" spans="1:17" x14ac:dyDescent="0.25">
      <c r="A4" s="2" t="s">
        <v>23</v>
      </c>
      <c r="B4" s="25">
        <v>76782.551724137928</v>
      </c>
    </row>
    <row r="5" spans="1:17" x14ac:dyDescent="0.25">
      <c r="A5" s="2" t="s">
        <v>11</v>
      </c>
      <c r="B5" s="25">
        <v>61053.716981132078</v>
      </c>
    </row>
    <row r="6" spans="1:17" x14ac:dyDescent="0.25">
      <c r="A6" s="2" t="s">
        <v>8</v>
      </c>
      <c r="B6" s="25">
        <v>56285.477272727272</v>
      </c>
    </row>
    <row r="7" spans="1:17" x14ac:dyDescent="0.25">
      <c r="A7" s="2" t="s">
        <v>32</v>
      </c>
      <c r="B7" s="25">
        <v>58359.523809523809</v>
      </c>
    </row>
    <row r="8" spans="1:17" x14ac:dyDescent="0.25">
      <c r="A8" s="2" t="s">
        <v>267</v>
      </c>
      <c r="B8" s="25">
        <v>63012.483999999997</v>
      </c>
    </row>
    <row r="9" spans="1:17" x14ac:dyDescent="0.25">
      <c r="A9" s="15"/>
      <c r="B9" s="15"/>
    </row>
    <row r="10" spans="1:17" x14ac:dyDescent="0.25">
      <c r="A10" s="15"/>
      <c r="B10" s="15"/>
    </row>
    <row r="11" spans="1:17" x14ac:dyDescent="0.25">
      <c r="A11" s="15"/>
      <c r="B11" s="15"/>
    </row>
    <row r="12" spans="1:17" x14ac:dyDescent="0.25">
      <c r="A12" s="22" t="s">
        <v>266</v>
      </c>
      <c r="B12" t="s">
        <v>275</v>
      </c>
    </row>
    <row r="13" spans="1:17" x14ac:dyDescent="0.25">
      <c r="A13" s="2" t="s">
        <v>276</v>
      </c>
      <c r="B13" s="26">
        <v>11</v>
      </c>
    </row>
    <row r="14" spans="1:17" x14ac:dyDescent="0.25">
      <c r="A14" s="2" t="s">
        <v>277</v>
      </c>
      <c r="B14" s="26">
        <v>62</v>
      </c>
    </row>
    <row r="15" spans="1:17" x14ac:dyDescent="0.25">
      <c r="A15" s="2" t="s">
        <v>278</v>
      </c>
      <c r="B15" s="26">
        <v>55</v>
      </c>
    </row>
    <row r="16" spans="1:17" x14ac:dyDescent="0.25">
      <c r="A16" s="2" t="s">
        <v>279</v>
      </c>
      <c r="B16" s="26">
        <v>68</v>
      </c>
      <c r="K16" s="15"/>
      <c r="L16" s="15"/>
      <c r="M16" s="15"/>
      <c r="N16" s="15"/>
      <c r="O16" s="15"/>
      <c r="P16" s="15"/>
      <c r="Q16" s="15"/>
    </row>
    <row r="17" spans="1:17" x14ac:dyDescent="0.25">
      <c r="A17" s="2" t="s">
        <v>280</v>
      </c>
      <c r="B17" s="26">
        <v>54</v>
      </c>
      <c r="K17" s="15"/>
      <c r="L17" s="15"/>
      <c r="M17" s="15"/>
      <c r="N17" s="15"/>
      <c r="O17" s="15"/>
      <c r="P17" s="15"/>
      <c r="Q17" s="15"/>
    </row>
    <row r="18" spans="1:17" x14ac:dyDescent="0.25">
      <c r="A18" s="2" t="s">
        <v>267</v>
      </c>
      <c r="B18" s="26">
        <v>250</v>
      </c>
      <c r="D18" s="15"/>
      <c r="E18" s="15"/>
      <c r="F18" s="15"/>
      <c r="G18" s="15"/>
      <c r="H18" s="15"/>
      <c r="I18" s="15"/>
      <c r="K18" s="15"/>
      <c r="L18" s="15"/>
      <c r="M18" s="15"/>
      <c r="N18" s="15"/>
      <c r="O18" s="15"/>
      <c r="P18" s="15"/>
      <c r="Q18" s="15"/>
    </row>
    <row r="19" spans="1:17" x14ac:dyDescent="0.25">
      <c r="A19" s="15"/>
      <c r="B19" s="15"/>
      <c r="D19" s="15"/>
      <c r="E19" s="15"/>
      <c r="F19" s="15"/>
      <c r="G19" s="15"/>
      <c r="H19" s="15"/>
      <c r="I19" s="15"/>
      <c r="K19" s="15"/>
      <c r="L19" s="15"/>
      <c r="M19" s="15"/>
      <c r="N19" s="15"/>
      <c r="O19" s="15"/>
      <c r="P19" s="15"/>
      <c r="Q19" s="15"/>
    </row>
    <row r="20" spans="1:17" x14ac:dyDescent="0.25">
      <c r="A20" s="15"/>
      <c r="B20" s="15"/>
      <c r="D20" s="15"/>
      <c r="E20" s="15"/>
      <c r="F20" s="15"/>
      <c r="G20" s="15"/>
      <c r="H20" s="15"/>
      <c r="I20" s="15"/>
      <c r="K20" s="15"/>
      <c r="L20" s="15"/>
      <c r="M20" s="15"/>
      <c r="N20" s="15"/>
      <c r="O20" s="15"/>
      <c r="P20" s="15"/>
      <c r="Q20" s="15"/>
    </row>
    <row r="21" spans="1:17" x14ac:dyDescent="0.25">
      <c r="A21" s="15"/>
      <c r="B21" s="15"/>
      <c r="D21" s="15"/>
      <c r="E21" s="15"/>
      <c r="F21" s="15"/>
      <c r="G21" s="15"/>
      <c r="H21" s="15"/>
      <c r="I21" s="15"/>
      <c r="K21" s="15"/>
      <c r="L21" s="15"/>
      <c r="M21" s="15"/>
      <c r="N21" s="15"/>
      <c r="O21" s="15"/>
      <c r="P21" s="15"/>
      <c r="Q21" s="15"/>
    </row>
    <row r="22" spans="1:17" x14ac:dyDescent="0.25">
      <c r="A22" s="15"/>
      <c r="B22" s="15"/>
      <c r="D22" s="15"/>
      <c r="E22" s="15"/>
      <c r="F22" s="15"/>
      <c r="G22" s="15"/>
      <c r="H22" s="15"/>
      <c r="I22" s="15"/>
      <c r="K22" s="15"/>
      <c r="L22" s="15"/>
      <c r="M22" s="15"/>
      <c r="N22" s="15"/>
      <c r="O22" s="15"/>
      <c r="P22" s="15"/>
      <c r="Q22" s="15"/>
    </row>
    <row r="23" spans="1:17" x14ac:dyDescent="0.25">
      <c r="A23" s="15"/>
      <c r="B23" s="15"/>
      <c r="D23" s="15"/>
      <c r="E23" s="15"/>
      <c r="F23" s="15"/>
      <c r="G23" s="15"/>
      <c r="H23" s="15"/>
      <c r="I23" s="15"/>
      <c r="K23" s="15"/>
      <c r="L23" s="15"/>
      <c r="M23" s="15"/>
      <c r="N23" s="15"/>
      <c r="O23" s="15"/>
      <c r="P23" s="15"/>
      <c r="Q23" s="15"/>
    </row>
    <row r="24" spans="1:17" x14ac:dyDescent="0.25">
      <c r="A24" s="15"/>
      <c r="B24" s="15"/>
      <c r="D24" s="15"/>
      <c r="E24" s="15"/>
      <c r="F24" s="15"/>
      <c r="G24" s="15"/>
      <c r="H24" s="15"/>
      <c r="I24" s="15"/>
      <c r="K24" s="15"/>
      <c r="L24" s="15"/>
      <c r="M24" s="15"/>
      <c r="N24" s="15"/>
      <c r="O24" s="15"/>
      <c r="P24" s="15"/>
      <c r="Q24" s="15"/>
    </row>
    <row r="25" spans="1:17" x14ac:dyDescent="0.25">
      <c r="A25" s="15"/>
      <c r="B25" s="15"/>
      <c r="D25" s="15"/>
      <c r="E25" s="15"/>
      <c r="F25" s="15"/>
      <c r="G25" s="15"/>
      <c r="H25" s="15"/>
      <c r="I25" s="15"/>
      <c r="K25" s="15"/>
      <c r="L25" s="15"/>
      <c r="M25" s="15"/>
      <c r="N25" s="15"/>
      <c r="O25" s="15"/>
      <c r="P25" s="15"/>
      <c r="Q25" s="15"/>
    </row>
    <row r="26" spans="1:17" x14ac:dyDescent="0.25">
      <c r="A26" s="15"/>
      <c r="B26" s="15"/>
      <c r="D26" s="15"/>
      <c r="E26" s="15"/>
      <c r="F26" s="15"/>
      <c r="G26" s="15"/>
      <c r="H26" s="15"/>
      <c r="I26" s="15"/>
      <c r="K26" s="15"/>
      <c r="L26" s="15"/>
      <c r="M26" s="15"/>
      <c r="N26" s="15"/>
      <c r="O26" s="15"/>
      <c r="P26" s="15"/>
      <c r="Q26" s="15"/>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HR_Records</vt:lpstr>
      <vt:lpstr>Attrition Analysis</vt:lpstr>
      <vt:lpstr>Salary&amp;Age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NITHYASHREE S</dc:creator>
  <cp:lastModifiedBy>NITHYASHREE S</cp:lastModifiedBy>
  <dcterms:created xsi:type="dcterms:W3CDTF">2026-08-27T16:02:39Z</dcterms:created>
  <dcterms:modified xsi:type="dcterms:W3CDTF">2026-08-28T08:46:53Z</dcterms:modified>
</cp:coreProperties>
</file>